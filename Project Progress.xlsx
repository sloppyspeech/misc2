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f6c57b2edcba77/Documents/"/>
    </mc:Choice>
  </mc:AlternateContent>
  <xr:revisionPtr revIDLastSave="4" documentId="8_{E6042F41-43AB-42ED-9171-6D030DB3C320}" xr6:coauthVersionLast="47" xr6:coauthVersionMax="47" xr10:uidLastSave="{D6C7BC9E-BF41-46E6-B48A-E0FF2EEF3EC5}"/>
  <bookViews>
    <workbookView xWindow="28680" yWindow="-120" windowWidth="29040" windowHeight="15720" activeTab="1" xr2:uid="{0482BBCA-7C2B-41C6-AB8C-4192D5B3061D}"/>
  </bookViews>
  <sheets>
    <sheet name="Sheet2" sheetId="2" r:id="rId1"/>
    <sheet name="Sheet3" sheetId="3" r:id="rId2"/>
    <sheet name="Tasks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2" l="1"/>
  <c r="A32" i="2"/>
  <c r="A31" i="2"/>
  <c r="A30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2" i="1"/>
  <c r="I14" i="2"/>
  <c r="J14" i="2"/>
  <c r="J5" i="2"/>
  <c r="J6" i="2"/>
  <c r="J7" i="2"/>
  <c r="J8" i="2"/>
  <c r="J9" i="2"/>
  <c r="J10" i="2"/>
  <c r="J11" i="2"/>
  <c r="J12" i="2"/>
  <c r="J13" i="2"/>
  <c r="J4" i="2"/>
</calcChain>
</file>

<file path=xl/sharedStrings.xml><?xml version="1.0" encoding="utf-8"?>
<sst xmlns="http://schemas.openxmlformats.org/spreadsheetml/2006/main" count="283" uniqueCount="113">
  <si>
    <t>Project</t>
  </si>
  <si>
    <t>Task</t>
  </si>
  <si>
    <t>Responsible</t>
  </si>
  <si>
    <t>Start Date</t>
  </si>
  <si>
    <t>Days Required</t>
  </si>
  <si>
    <t>Progress</t>
  </si>
  <si>
    <t>Project 1</t>
  </si>
  <si>
    <t>Project 1 - Task 1</t>
  </si>
  <si>
    <t>Person 1</t>
  </si>
  <si>
    <t>Project 3 - Task 1</t>
  </si>
  <si>
    <t>Person 2</t>
  </si>
  <si>
    <t>Project 1 - Task 2</t>
  </si>
  <si>
    <t>Person 3</t>
  </si>
  <si>
    <t>Project 1 - Task 3</t>
  </si>
  <si>
    <t>Person 4</t>
  </si>
  <si>
    <t>Project 1 - Task 4</t>
  </si>
  <si>
    <t>Person 5</t>
  </si>
  <si>
    <t>Project 1 - Task 5</t>
  </si>
  <si>
    <t>Project 1 - Task 6</t>
  </si>
  <si>
    <t>Project 1 - Task 7</t>
  </si>
  <si>
    <t>Project 1 - Task 8</t>
  </si>
  <si>
    <t>Project 1 - Task 9</t>
  </si>
  <si>
    <t>Project 2</t>
  </si>
  <si>
    <t>Project 2 - Task 1</t>
  </si>
  <si>
    <t>Project 2 - Task 2</t>
  </si>
  <si>
    <t>Project 2 - Task 3</t>
  </si>
  <si>
    <t>Project 2 - Task 4</t>
  </si>
  <si>
    <t>Project 2 - Task 5</t>
  </si>
  <si>
    <t>Project 2 - Task 6</t>
  </si>
  <si>
    <t>Project 2 - Task 7</t>
  </si>
  <si>
    <t>Project 2 - Task 8</t>
  </si>
  <si>
    <t>Project 2 - Task 9</t>
  </si>
  <si>
    <t>Project 2 - Task 10</t>
  </si>
  <si>
    <t>Project 3</t>
  </si>
  <si>
    <t>Project 3 - Task 2</t>
  </si>
  <si>
    <t>Project 3 - Task 3</t>
  </si>
  <si>
    <t>Project 3 - Task 4</t>
  </si>
  <si>
    <t>Project 3 - Task 5</t>
  </si>
  <si>
    <t>Project 3 - Task 6</t>
  </si>
  <si>
    <t>Project 4</t>
  </si>
  <si>
    <t>Project 4 - Task 1</t>
  </si>
  <si>
    <t>Project 4 - Task 2</t>
  </si>
  <si>
    <t>Project 4 - Task 3</t>
  </si>
  <si>
    <t>Project 4 - Task 4</t>
  </si>
  <si>
    <t>Project 4 - Task 5</t>
  </si>
  <si>
    <t>Project 4 - Task 6</t>
  </si>
  <si>
    <t>Project 4 - Task 7</t>
  </si>
  <si>
    <t>Project 5</t>
  </si>
  <si>
    <t>Project 5 - Task 1</t>
  </si>
  <si>
    <t>Project 5 - Task 2</t>
  </si>
  <si>
    <t>Project 5 - Task 3</t>
  </si>
  <si>
    <t>Project 5 - Task 4</t>
  </si>
  <si>
    <t>Project 5 - Task 5</t>
  </si>
  <si>
    <t>Project 5 - Task 6</t>
  </si>
  <si>
    <t>Project 5 - Task 7</t>
  </si>
  <si>
    <t>Project 5 - Task 8</t>
  </si>
  <si>
    <t>Project 6</t>
  </si>
  <si>
    <t>Project 6 - Task 1</t>
  </si>
  <si>
    <t>Project 6 - Task 2</t>
  </si>
  <si>
    <t>Project 6 - Task 3</t>
  </si>
  <si>
    <t>Project 6 - Task 4</t>
  </si>
  <si>
    <t>Project 6 - Task 5</t>
  </si>
  <si>
    <t>Project 6 - Task 6</t>
  </si>
  <si>
    <t>Project 6 - Task 7</t>
  </si>
  <si>
    <t>Project 6 - Task 8</t>
  </si>
  <si>
    <t>Project 7</t>
  </si>
  <si>
    <t>Project 7 - Task 1</t>
  </si>
  <si>
    <t>Project 7 - Task 2</t>
  </si>
  <si>
    <t>Project 7 - Task 3</t>
  </si>
  <si>
    <t>Project 7 - Task 4</t>
  </si>
  <si>
    <t>Project 7 - Task 5</t>
  </si>
  <si>
    <t>Project 7 - Task 6</t>
  </si>
  <si>
    <t>Project 7 - Task 7</t>
  </si>
  <si>
    <t>Project 7 - Task 8</t>
  </si>
  <si>
    <t>Project 7 - Task 9</t>
  </si>
  <si>
    <t>Project 8</t>
  </si>
  <si>
    <t>Project 8 - Task 1</t>
  </si>
  <si>
    <t>Project 8 - Task 2</t>
  </si>
  <si>
    <t>Project 8 - Task 3</t>
  </si>
  <si>
    <t>Project 8 - Task 4</t>
  </si>
  <si>
    <t>Project 8 - Task 5</t>
  </si>
  <si>
    <t>Project 8 - Task 6</t>
  </si>
  <si>
    <t>Project 8 - Task 7</t>
  </si>
  <si>
    <t>Project 8 - Task 8</t>
  </si>
  <si>
    <t>Project 8 - Task 9</t>
  </si>
  <si>
    <t>Project 8 - Task 10</t>
  </si>
  <si>
    <t>Project 8 - Task 11</t>
  </si>
  <si>
    <t>Project 9</t>
  </si>
  <si>
    <t>Project 9 - Task 1</t>
  </si>
  <si>
    <t>Project 9 - Task 2</t>
  </si>
  <si>
    <t>Project 9 - Task 3</t>
  </si>
  <si>
    <t>Project 9 - Task 4</t>
  </si>
  <si>
    <t>Project 10</t>
  </si>
  <si>
    <t>Project 10 - Task 1</t>
  </si>
  <si>
    <t>Project 10 - Task 2</t>
  </si>
  <si>
    <t>Project 10 - Task 3</t>
  </si>
  <si>
    <t>Project 10 - Task 4</t>
  </si>
  <si>
    <t>Project 10 - Task 5</t>
  </si>
  <si>
    <t>Project 10 - Task 6</t>
  </si>
  <si>
    <t>Project 10 - Task 7</t>
  </si>
  <si>
    <t>Project 10 - Task 8</t>
  </si>
  <si>
    <t>Row Labels</t>
  </si>
  <si>
    <t>Grand Total</t>
  </si>
  <si>
    <t>Count of Task</t>
  </si>
  <si>
    <t>Sum of Days Required</t>
  </si>
  <si>
    <t>Min of Start Date</t>
  </si>
  <si>
    <t>Max of Progress</t>
  </si>
  <si>
    <t>status</t>
  </si>
  <si>
    <t>Done</t>
  </si>
  <si>
    <t>In Progress</t>
  </si>
  <si>
    <t>Not started</t>
  </si>
  <si>
    <t>Count of status</t>
  </si>
  <si>
    <t>Count of 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</si>
</sst>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Aptos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theme="0" tint="-0.14996795556505021"/>
      </patternFill>
    </fill>
  </fills>
  <borders count="2">
    <border>
      <left/>
      <right/>
      <top/>
      <bottom/>
      <diagonal/>
    </border>
    <border>
      <left/>
      <right/>
      <top style="thin">
        <color theme="2" tint="-9.9887081514938816E-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9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1" fillId="2" borderId="0" xfId="0" applyFont="1" applyFill="1" applyBorder="1" applyAlignment="1">
      <alignment horizontal="left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09-4150-B286-7FFA15D3F2E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09-4150-B286-7FFA15D3F2EC}"/>
              </c:ext>
            </c:extLst>
          </c:dPt>
          <c:val>
            <c:numRef>
              <c:f>Sheet2!$I$14:$J$14</c:f>
              <c:numCache>
                <c:formatCode>0%</c:formatCode>
                <c:ptCount val="2"/>
                <c:pt idx="0">
                  <c:v>0.81600000000000006</c:v>
                </c:pt>
                <c:pt idx="1">
                  <c:v>0.18400000000000002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09-4150-B286-7FFA15D3F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10000"/>
        <a:lumOff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Sheet2!$B$28</c:f>
              <c:strCache>
                <c:ptCount val="1"/>
                <c:pt idx="0">
                  <c:v>Count of status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Sheet2!$A$29:$A$32</c:f>
              <c:strCache>
                <c:ptCount val="4"/>
                <c:pt idx="0">
                  <c:v>Grand Total     80</c:v>
                </c:pt>
                <c:pt idx="1">
                  <c:v>In Progress     73</c:v>
                </c:pt>
                <c:pt idx="2">
                  <c:v>Done     4</c:v>
                </c:pt>
                <c:pt idx="3">
                  <c:v>Not started     3</c:v>
                </c:pt>
              </c:strCache>
            </c:strRef>
          </c:cat>
          <c:val>
            <c:numRef>
              <c:f>Sheet2!$B$29:$B$32</c:f>
              <c:numCache>
                <c:formatCode>0%</c:formatCode>
                <c:ptCount val="4"/>
                <c:pt idx="0">
                  <c:v>1</c:v>
                </c:pt>
                <c:pt idx="1">
                  <c:v>0.91249999999999998</c:v>
                </c:pt>
                <c:pt idx="2">
                  <c:v>0.05</c:v>
                </c:pt>
                <c:pt idx="3">
                  <c:v>3.7499999999999999E-2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2-46C6-ACD1-212C6350A0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"/>
        <c:overlap val="-11"/>
        <c:axId val="324312880"/>
        <c:axId val="324313840"/>
      </c:barChart>
      <c:catAx>
        <c:axId val="3243128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324313840"/>
        <c:crosses val="autoZero"/>
        <c:auto val="1"/>
        <c:lblAlgn val="ctr"/>
        <c:lblOffset val="100"/>
        <c:noMultiLvlLbl val="0"/>
      </c:catAx>
      <c:valAx>
        <c:axId val="324313840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32431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0378668478260866"/>
                  <c:y val="9.1120490446927778E-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28955314009659"/>
                      <c:h val="4.36738688302315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98D-4C38-BDA0-B3B0AF01F6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Sheet2!$H$4:$H$13</c:f>
              <c:strCache>
                <c:ptCount val="10"/>
                <c:pt idx="0">
                  <c:v>Project 1</c:v>
                </c:pt>
                <c:pt idx="1">
                  <c:v>Project 10</c:v>
                </c:pt>
                <c:pt idx="2">
                  <c:v>Project 2</c:v>
                </c:pt>
                <c:pt idx="3">
                  <c:v>Project 3</c:v>
                </c:pt>
                <c:pt idx="4">
                  <c:v>Project 4</c:v>
                </c:pt>
                <c:pt idx="5">
                  <c:v>Project 5</c:v>
                </c:pt>
                <c:pt idx="6">
                  <c:v>Project 6</c:v>
                </c:pt>
                <c:pt idx="7">
                  <c:v>Project 7</c:v>
                </c:pt>
                <c:pt idx="8">
                  <c:v>Project 8</c:v>
                </c:pt>
                <c:pt idx="9">
                  <c:v>Project 9</c:v>
                </c:pt>
              </c:strCache>
            </c:strRef>
          </c:cat>
          <c:val>
            <c:numRef>
              <c:f>Sheet2!$I$4:$I$13</c:f>
              <c:numCache>
                <c:formatCode>0%</c:formatCode>
                <c:ptCount val="10"/>
                <c:pt idx="0">
                  <c:v>0.01</c:v>
                </c:pt>
                <c:pt idx="1">
                  <c:v>0.85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  <c:pt idx="5">
                  <c:v>1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D-4C38-BDA0-B3B0AF01F6F9}"/>
            </c:ext>
          </c:extLst>
        </c:ser>
        <c:ser>
          <c:idx val="1"/>
          <c:order val="1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Sheet2!$H$4:$H$13</c:f>
              <c:strCache>
                <c:ptCount val="10"/>
                <c:pt idx="0">
                  <c:v>Project 1</c:v>
                </c:pt>
                <c:pt idx="1">
                  <c:v>Project 10</c:v>
                </c:pt>
                <c:pt idx="2">
                  <c:v>Project 2</c:v>
                </c:pt>
                <c:pt idx="3">
                  <c:v>Project 3</c:v>
                </c:pt>
                <c:pt idx="4">
                  <c:v>Project 4</c:v>
                </c:pt>
                <c:pt idx="5">
                  <c:v>Project 5</c:v>
                </c:pt>
                <c:pt idx="6">
                  <c:v>Project 6</c:v>
                </c:pt>
                <c:pt idx="7">
                  <c:v>Project 7</c:v>
                </c:pt>
                <c:pt idx="8">
                  <c:v>Project 8</c:v>
                </c:pt>
                <c:pt idx="9">
                  <c:v>Project 9</c:v>
                </c:pt>
              </c:strCache>
            </c:strRef>
          </c:cat>
          <c:val>
            <c:numRef>
              <c:f>Sheet2!$J$4:$J$13</c:f>
              <c:numCache>
                <c:formatCode>0%</c:formatCode>
                <c:ptCount val="10"/>
                <c:pt idx="0">
                  <c:v>0.99</c:v>
                </c:pt>
                <c:pt idx="1">
                  <c:v>0.15000000000000002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  <c:pt idx="6">
                  <c:v>5.0000000000000044E-2</c:v>
                </c:pt>
                <c:pt idx="7">
                  <c:v>5.0000000000000044E-2</c:v>
                </c:pt>
                <c:pt idx="8">
                  <c:v>5.0000000000000044E-2</c:v>
                </c:pt>
                <c:pt idx="9">
                  <c:v>5.0000000000000044E-2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D-4C38-BDA0-B3B0AF01F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503994032"/>
        <c:axId val="503980592"/>
      </c:barChart>
      <c:catAx>
        <c:axId val="50399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03980592"/>
        <c:crosses val="autoZero"/>
        <c:auto val="1"/>
        <c:lblAlgn val="ctr"/>
        <c:lblOffset val="100"/>
        <c:noMultiLvlLbl val="0"/>
      </c:catAx>
      <c:valAx>
        <c:axId val="50398059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0399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</xdr:colOff>
      <xdr:row>1</xdr:row>
      <xdr:rowOff>177165</xdr:rowOff>
    </xdr:from>
    <xdr:to>
      <xdr:col>10</xdr:col>
      <xdr:colOff>86250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04F41-CDBC-409E-8EB1-76EFCA31A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</xdr:colOff>
      <xdr:row>17</xdr:row>
      <xdr:rowOff>38100</xdr:rowOff>
    </xdr:from>
    <xdr:to>
      <xdr:col>10</xdr:col>
      <xdr:colOff>86250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43FD06-314F-42BF-8ECF-1BCD7D307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4</xdr:col>
      <xdr:colOff>645000</xdr:colOff>
      <xdr:row>33</xdr:row>
      <xdr:rowOff>54180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2FFC35-9C04-4540-B11E-7A48732C7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0.39208</cdr:x>
      <cdr:y>0.4214</cdr:y>
    </cdr:from>
    <cdr:to>
      <cdr:x>0.64208</cdr:x>
      <cdr:y>0.59799</cdr:y>
    </cdr:to>
    <cdr:sp macro="" textlink="Sheet2!$I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B6D2DA7-6A2D-D79F-54AD-9CEAC48A378D}"/>
            </a:ext>
          </a:extLst>
        </cdr:cNvPr>
        <cdr:cNvSpPr txBox="1"/>
      </cdr:nvSpPr>
      <cdr:spPr>
        <a:xfrm xmlns:a="http://schemas.openxmlformats.org/drawingml/2006/main">
          <a:off x="1792605" y="1159193"/>
          <a:ext cx="1143000" cy="485775"/>
        </a:xfrm>
        <a:prstGeom xmlns:a="http://schemas.openxmlformats.org/drawingml/2006/main" prst="rect">
          <a:avLst/>
        </a:prstGeom>
        <a:noFill xmlns:a="http://schemas.openxmlformats.org/drawingml/2006/main"/>
        <a:effectLst xmlns:a="http://schemas.openxmlformats.org/drawingml/2006/main"/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DE7C4129-D2A7-4E73-82B6-B07C35EC0470}" type="TxLink">
            <a:rPr lang="en-US" sz="3600" b="1" i="0" u="none" strike="noStrike" kern="1200">
              <a:solidFill>
                <a:schemeClr val="bg2">
                  <a:lumMod val="50000"/>
                </a:schemeClr>
              </a:solidFill>
              <a:latin typeface="+mj-lt"/>
            </a:rPr>
            <a:pPr algn="ctr"/>
            <a:t>82%</a:t>
          </a:fld>
          <a:endParaRPr lang="en-IN" sz="3600" b="1" kern="1200">
            <a:solidFill>
              <a:schemeClr val="bg2">
                <a:lumMod val="50000"/>
              </a:schemeClr>
            </a:solidFill>
            <a:latin typeface="+mj-lt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kar" refreshedDate="46017.627196180554" createdVersion="8" refreshedVersion="8" minRefreshableVersion="3" recordCount="80" xr:uid="{561E94C2-769D-426F-870B-F940C85C973E}">
  <cacheSource type="worksheet">
    <worksheetSource ref="A1:G81" sheet="Tasks"/>
  </cacheSource>
  <cacheFields count="7">
    <cacheField name="Project" numFmtId="0">
      <sharedItems count="10">
        <s v="Project 1"/>
        <s v="Project 2"/>
        <s v="Project 3"/>
        <s v="Project 4"/>
        <s v="Project 5"/>
        <s v="Project 6"/>
        <s v="Project 7"/>
        <s v="Project 8"/>
        <s v="Project 9"/>
        <s v="Project 10"/>
      </sharedItems>
    </cacheField>
    <cacheField name="Task" numFmtId="0">
      <sharedItems/>
    </cacheField>
    <cacheField name="Responsible" numFmtId="0">
      <sharedItems/>
    </cacheField>
    <cacheField name="Start Date" numFmtId="164">
      <sharedItems containsSemiMixedTypes="0" containsNonDate="0" containsDate="1" containsString="0" minDate="2025-01-05T00:00:00" maxDate="2025-01-25T00:00:00"/>
    </cacheField>
    <cacheField name="Days Required" numFmtId="0">
      <sharedItems containsSemiMixedTypes="0" containsString="0" containsNumber="1" containsInteger="1" minValue="3" maxValue="43" count="13">
        <n v="20"/>
        <n v="6"/>
        <n v="10"/>
        <n v="9"/>
        <n v="30"/>
        <n v="12"/>
        <n v="43"/>
        <n v="23"/>
        <n v="7"/>
        <n v="8"/>
        <n v="4"/>
        <n v="3"/>
        <n v="5"/>
      </sharedItems>
    </cacheField>
    <cacheField name="Progress" numFmtId="9">
      <sharedItems containsSemiMixedTypes="0" containsString="0" containsNumber="1" minValue="0" maxValue="1" count="21">
        <n v="1"/>
        <n v="0.4"/>
        <n v="0.45"/>
        <n v="0.85"/>
        <n v="0.8"/>
        <n v="0.1"/>
        <n v="0.5"/>
        <n v="0.3"/>
        <n v="0.6"/>
        <n v="0.7"/>
        <n v="0.55000000000000004"/>
        <n v="0.75"/>
        <n v="0"/>
        <n v="0.9"/>
        <n v="0.25"/>
        <n v="0.35"/>
        <n v="0.05"/>
        <n v="0.65"/>
        <n v="0.2"/>
        <n v="0.95"/>
        <n v="0.15"/>
      </sharedItems>
    </cacheField>
    <cacheField name="status" numFmtId="0">
      <sharedItems count="3">
        <s v="Done"/>
        <s v="In Progress"/>
        <s v="Not star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Project 1 - Task 1"/>
    <s v="Person 1"/>
    <d v="2025-01-09T00:00:00"/>
    <x v="0"/>
    <x v="0"/>
    <x v="0"/>
  </r>
  <r>
    <x v="0"/>
    <s v="Project 3 - Task 1"/>
    <s v="Person 2"/>
    <d v="2025-01-10T00:00:00"/>
    <x v="1"/>
    <x v="1"/>
    <x v="1"/>
  </r>
  <r>
    <x v="0"/>
    <s v="Project 1 - Task 2"/>
    <s v="Person 3"/>
    <d v="2025-01-11T00:00:00"/>
    <x v="2"/>
    <x v="2"/>
    <x v="1"/>
  </r>
  <r>
    <x v="0"/>
    <s v="Project 1 - Task 3"/>
    <s v="Person 4"/>
    <d v="2025-01-14T00:00:00"/>
    <x v="3"/>
    <x v="3"/>
    <x v="1"/>
  </r>
  <r>
    <x v="0"/>
    <s v="Project 1 - Task 4"/>
    <s v="Person 5"/>
    <d v="2025-01-10T00:00:00"/>
    <x v="4"/>
    <x v="2"/>
    <x v="1"/>
  </r>
  <r>
    <x v="0"/>
    <s v="Project 1 - Task 5"/>
    <s v="Person 1"/>
    <d v="2025-01-13T00:00:00"/>
    <x v="5"/>
    <x v="4"/>
    <x v="1"/>
  </r>
  <r>
    <x v="0"/>
    <s v="Project 1 - Task 6"/>
    <s v="Person 2"/>
    <d v="2025-01-13T00:00:00"/>
    <x v="6"/>
    <x v="5"/>
    <x v="1"/>
  </r>
  <r>
    <x v="0"/>
    <s v="Project 1 - Task 7"/>
    <s v="Person 3"/>
    <d v="2025-01-15T00:00:00"/>
    <x v="7"/>
    <x v="6"/>
    <x v="1"/>
  </r>
  <r>
    <x v="0"/>
    <s v="Project 1 - Task 8"/>
    <s v="Person 4"/>
    <d v="2025-01-15T00:00:00"/>
    <x v="3"/>
    <x v="5"/>
    <x v="1"/>
  </r>
  <r>
    <x v="0"/>
    <s v="Project 1 - Task 9"/>
    <s v="Person 5"/>
    <d v="2025-01-16T00:00:00"/>
    <x v="1"/>
    <x v="7"/>
    <x v="1"/>
  </r>
  <r>
    <x v="1"/>
    <s v="Project 2 - Task 1"/>
    <s v="Person 1"/>
    <d v="2025-01-06T00:00:00"/>
    <x v="8"/>
    <x v="2"/>
    <x v="1"/>
  </r>
  <r>
    <x v="1"/>
    <s v="Project 2 - Task 2"/>
    <s v="Person 2"/>
    <d v="2025-01-10T00:00:00"/>
    <x v="3"/>
    <x v="0"/>
    <x v="0"/>
  </r>
  <r>
    <x v="1"/>
    <s v="Project 2 - Task 3"/>
    <s v="Person 3"/>
    <d v="2025-01-11T00:00:00"/>
    <x v="9"/>
    <x v="6"/>
    <x v="1"/>
  </r>
  <r>
    <x v="1"/>
    <s v="Project 2 - Task 4"/>
    <s v="Person 4"/>
    <d v="2025-01-13T00:00:00"/>
    <x v="8"/>
    <x v="8"/>
    <x v="1"/>
  </r>
  <r>
    <x v="1"/>
    <s v="Project 2 - Task 5"/>
    <s v="Person 5"/>
    <d v="2025-01-14T00:00:00"/>
    <x v="10"/>
    <x v="9"/>
    <x v="1"/>
  </r>
  <r>
    <x v="1"/>
    <s v="Project 2 - Task 6"/>
    <s v="Person 1"/>
    <d v="2025-01-14T00:00:00"/>
    <x v="1"/>
    <x v="10"/>
    <x v="1"/>
  </r>
  <r>
    <x v="1"/>
    <s v="Project 2 - Task 7"/>
    <s v="Person 2"/>
    <d v="2025-01-17T00:00:00"/>
    <x v="1"/>
    <x v="11"/>
    <x v="1"/>
  </r>
  <r>
    <x v="1"/>
    <s v="Project 2 - Task 8"/>
    <s v="Person 3"/>
    <d v="2025-01-18T00:00:00"/>
    <x v="10"/>
    <x v="12"/>
    <x v="2"/>
  </r>
  <r>
    <x v="1"/>
    <s v="Project 2 - Task 9"/>
    <s v="Person 4"/>
    <d v="2025-01-20T00:00:00"/>
    <x v="8"/>
    <x v="5"/>
    <x v="1"/>
  </r>
  <r>
    <x v="1"/>
    <s v="Project 2 - Task 10"/>
    <s v="Person 5"/>
    <d v="2025-01-09T00:00:00"/>
    <x v="11"/>
    <x v="3"/>
    <x v="1"/>
  </r>
  <r>
    <x v="2"/>
    <s v="Project 3 - Task 2"/>
    <s v="Person 1"/>
    <d v="2025-01-05T00:00:00"/>
    <x v="2"/>
    <x v="13"/>
    <x v="1"/>
  </r>
  <r>
    <x v="2"/>
    <s v="Project 3 - Task 3"/>
    <s v="Person 2"/>
    <d v="2025-01-14T00:00:00"/>
    <x v="12"/>
    <x v="3"/>
    <x v="1"/>
  </r>
  <r>
    <x v="2"/>
    <s v="Project 3 - Task 4"/>
    <s v="Person 3"/>
    <d v="2025-01-16T00:00:00"/>
    <x v="8"/>
    <x v="9"/>
    <x v="1"/>
  </r>
  <r>
    <x v="2"/>
    <s v="Project 3 - Task 5"/>
    <s v="Person 4"/>
    <d v="2025-01-19T00:00:00"/>
    <x v="8"/>
    <x v="14"/>
    <x v="1"/>
  </r>
  <r>
    <x v="2"/>
    <s v="Project 3 - Task 6"/>
    <s v="Person 5"/>
    <d v="2025-01-21T00:00:00"/>
    <x v="11"/>
    <x v="0"/>
    <x v="0"/>
  </r>
  <r>
    <x v="3"/>
    <s v="Project 4 - Task 1"/>
    <s v="Person 1"/>
    <d v="2025-01-23T00:00:00"/>
    <x v="3"/>
    <x v="5"/>
    <x v="1"/>
  </r>
  <r>
    <x v="3"/>
    <s v="Project 4 - Task 2"/>
    <s v="Person 2"/>
    <d v="2025-01-24T00:00:00"/>
    <x v="2"/>
    <x v="6"/>
    <x v="1"/>
  </r>
  <r>
    <x v="3"/>
    <s v="Project 4 - Task 3"/>
    <s v="Person 3"/>
    <d v="2025-01-09T00:00:00"/>
    <x v="10"/>
    <x v="14"/>
    <x v="1"/>
  </r>
  <r>
    <x v="3"/>
    <s v="Project 4 - Task 4"/>
    <s v="Person 4"/>
    <d v="2025-01-12T00:00:00"/>
    <x v="9"/>
    <x v="15"/>
    <x v="1"/>
  </r>
  <r>
    <x v="3"/>
    <s v="Project 4 - Task 5"/>
    <s v="Person 5"/>
    <d v="2025-01-15T00:00:00"/>
    <x v="2"/>
    <x v="7"/>
    <x v="1"/>
  </r>
  <r>
    <x v="3"/>
    <s v="Project 4 - Task 6"/>
    <s v="Person 1"/>
    <d v="2025-01-18T00:00:00"/>
    <x v="1"/>
    <x v="16"/>
    <x v="1"/>
  </r>
  <r>
    <x v="3"/>
    <s v="Project 4 - Task 7"/>
    <s v="Person 2"/>
    <d v="2025-01-18T00:00:00"/>
    <x v="10"/>
    <x v="5"/>
    <x v="1"/>
  </r>
  <r>
    <x v="4"/>
    <s v="Project 5 - Task 1"/>
    <s v="Person 3"/>
    <d v="2025-01-21T00:00:00"/>
    <x v="9"/>
    <x v="0"/>
    <x v="0"/>
  </r>
  <r>
    <x v="4"/>
    <s v="Project 5 - Task 2"/>
    <s v="Person 4"/>
    <d v="2025-01-23T00:00:00"/>
    <x v="3"/>
    <x v="13"/>
    <x v="1"/>
  </r>
  <r>
    <x v="4"/>
    <s v="Project 5 - Task 3"/>
    <s v="Person 5"/>
    <d v="2025-01-13T00:00:00"/>
    <x v="12"/>
    <x v="11"/>
    <x v="1"/>
  </r>
  <r>
    <x v="4"/>
    <s v="Project 5 - Task 4"/>
    <s v="Person 1"/>
    <d v="2025-01-12T00:00:00"/>
    <x v="11"/>
    <x v="4"/>
    <x v="1"/>
  </r>
  <r>
    <x v="4"/>
    <s v="Project 5 - Task 5"/>
    <s v="Person 2"/>
    <d v="2025-01-14T00:00:00"/>
    <x v="8"/>
    <x v="5"/>
    <x v="1"/>
  </r>
  <r>
    <x v="4"/>
    <s v="Project 5 - Task 6"/>
    <s v="Person 3"/>
    <d v="2025-01-15T00:00:00"/>
    <x v="2"/>
    <x v="14"/>
    <x v="1"/>
  </r>
  <r>
    <x v="4"/>
    <s v="Project 5 - Task 7"/>
    <s v="Person 4"/>
    <d v="2025-01-15T00:00:00"/>
    <x v="2"/>
    <x v="3"/>
    <x v="1"/>
  </r>
  <r>
    <x v="4"/>
    <s v="Project 5 - Task 8"/>
    <s v="Person 5"/>
    <d v="2025-01-15T00:00:00"/>
    <x v="11"/>
    <x v="11"/>
    <x v="1"/>
  </r>
  <r>
    <x v="5"/>
    <s v="Project 6 - Task 1"/>
    <s v="Person 1"/>
    <d v="2025-01-09T00:00:00"/>
    <x v="12"/>
    <x v="17"/>
    <x v="1"/>
  </r>
  <r>
    <x v="5"/>
    <s v="Project 6 - Task 2"/>
    <s v="Person 2"/>
    <d v="2025-01-10T00:00:00"/>
    <x v="1"/>
    <x v="18"/>
    <x v="1"/>
  </r>
  <r>
    <x v="5"/>
    <s v="Project 6 - Task 3"/>
    <s v="Person 3"/>
    <d v="2025-01-11T00:00:00"/>
    <x v="2"/>
    <x v="11"/>
    <x v="1"/>
  </r>
  <r>
    <x v="5"/>
    <s v="Project 6 - Task 4"/>
    <s v="Person 4"/>
    <d v="2025-01-14T00:00:00"/>
    <x v="3"/>
    <x v="19"/>
    <x v="1"/>
  </r>
  <r>
    <x v="5"/>
    <s v="Project 6 - Task 5"/>
    <s v="Person 5"/>
    <d v="2025-01-10T00:00:00"/>
    <x v="10"/>
    <x v="1"/>
    <x v="1"/>
  </r>
  <r>
    <x v="5"/>
    <s v="Project 6 - Task 6"/>
    <s v="Person 1"/>
    <d v="2025-01-13T00:00:00"/>
    <x v="1"/>
    <x v="12"/>
    <x v="2"/>
  </r>
  <r>
    <x v="5"/>
    <s v="Project 6 - Task 7"/>
    <s v="Person 2"/>
    <d v="2025-01-13T00:00:00"/>
    <x v="8"/>
    <x v="10"/>
    <x v="1"/>
  </r>
  <r>
    <x v="5"/>
    <s v="Project 6 - Task 8"/>
    <s v="Person 3"/>
    <d v="2025-01-15T00:00:00"/>
    <x v="12"/>
    <x v="6"/>
    <x v="1"/>
  </r>
  <r>
    <x v="6"/>
    <s v="Project 7 - Task 1"/>
    <s v="Person 4"/>
    <d v="2025-01-15T00:00:00"/>
    <x v="3"/>
    <x v="9"/>
    <x v="1"/>
  </r>
  <r>
    <x v="6"/>
    <s v="Project 7 - Task 2"/>
    <s v="Person 5"/>
    <d v="2025-01-16T00:00:00"/>
    <x v="1"/>
    <x v="10"/>
    <x v="1"/>
  </r>
  <r>
    <x v="6"/>
    <s v="Project 7 - Task 3"/>
    <s v="Person 1"/>
    <d v="2025-01-06T00:00:00"/>
    <x v="8"/>
    <x v="19"/>
    <x v="1"/>
  </r>
  <r>
    <x v="6"/>
    <s v="Project 7 - Task 4"/>
    <s v="Person 2"/>
    <d v="2025-01-10T00:00:00"/>
    <x v="3"/>
    <x v="6"/>
    <x v="1"/>
  </r>
  <r>
    <x v="6"/>
    <s v="Project 7 - Task 5"/>
    <s v="Person 3"/>
    <d v="2025-01-11T00:00:00"/>
    <x v="9"/>
    <x v="18"/>
    <x v="1"/>
  </r>
  <r>
    <x v="6"/>
    <s v="Project 7 - Task 6"/>
    <s v="Person 4"/>
    <d v="2025-01-13T00:00:00"/>
    <x v="8"/>
    <x v="10"/>
    <x v="1"/>
  </r>
  <r>
    <x v="6"/>
    <s v="Project 7 - Task 7"/>
    <s v="Person 5"/>
    <d v="2025-01-14T00:00:00"/>
    <x v="10"/>
    <x v="16"/>
    <x v="1"/>
  </r>
  <r>
    <x v="6"/>
    <s v="Project 7 - Task 8"/>
    <s v="Person 1"/>
    <d v="2025-01-14T00:00:00"/>
    <x v="1"/>
    <x v="12"/>
    <x v="2"/>
  </r>
  <r>
    <x v="6"/>
    <s v="Project 7 - Task 9"/>
    <s v="Person 2"/>
    <d v="2025-01-17T00:00:00"/>
    <x v="1"/>
    <x v="18"/>
    <x v="1"/>
  </r>
  <r>
    <x v="7"/>
    <s v="Project 8 - Task 1"/>
    <s v="Person 3"/>
    <d v="2025-01-18T00:00:00"/>
    <x v="10"/>
    <x v="20"/>
    <x v="1"/>
  </r>
  <r>
    <x v="7"/>
    <s v="Project 8 - Task 2"/>
    <s v="Person 4"/>
    <d v="2025-01-20T00:00:00"/>
    <x v="8"/>
    <x v="18"/>
    <x v="1"/>
  </r>
  <r>
    <x v="7"/>
    <s v="Project 8 - Task 3"/>
    <s v="Person 5"/>
    <d v="2025-01-09T00:00:00"/>
    <x v="11"/>
    <x v="14"/>
    <x v="1"/>
  </r>
  <r>
    <x v="7"/>
    <s v="Project 8 - Task 4"/>
    <s v="Person 1"/>
    <d v="2025-01-05T00:00:00"/>
    <x v="2"/>
    <x v="10"/>
    <x v="1"/>
  </r>
  <r>
    <x v="7"/>
    <s v="Project 8 - Task 5"/>
    <s v="Person 2"/>
    <d v="2025-01-14T00:00:00"/>
    <x v="12"/>
    <x v="2"/>
    <x v="1"/>
  </r>
  <r>
    <x v="7"/>
    <s v="Project 8 - Task 6"/>
    <s v="Person 3"/>
    <d v="2025-01-16T00:00:00"/>
    <x v="8"/>
    <x v="13"/>
    <x v="1"/>
  </r>
  <r>
    <x v="7"/>
    <s v="Project 8 - Task 7"/>
    <s v="Person 4"/>
    <d v="2025-01-19T00:00:00"/>
    <x v="8"/>
    <x v="1"/>
    <x v="1"/>
  </r>
  <r>
    <x v="7"/>
    <s v="Project 8 - Task 8"/>
    <s v="Person 5"/>
    <d v="2025-01-21T00:00:00"/>
    <x v="11"/>
    <x v="10"/>
    <x v="1"/>
  </r>
  <r>
    <x v="7"/>
    <s v="Project 8 - Task 9"/>
    <s v="Person 1"/>
    <d v="2025-01-23T00:00:00"/>
    <x v="3"/>
    <x v="19"/>
    <x v="1"/>
  </r>
  <r>
    <x v="7"/>
    <s v="Project 8 - Task 10"/>
    <s v="Person 2"/>
    <d v="2025-01-24T00:00:00"/>
    <x v="2"/>
    <x v="20"/>
    <x v="1"/>
  </r>
  <r>
    <x v="7"/>
    <s v="Project 8 - Task 11"/>
    <s v="Person 3"/>
    <d v="2025-01-09T00:00:00"/>
    <x v="10"/>
    <x v="16"/>
    <x v="1"/>
  </r>
  <r>
    <x v="8"/>
    <s v="Project 9 - Task 1"/>
    <s v="Person 4"/>
    <d v="2025-01-12T00:00:00"/>
    <x v="9"/>
    <x v="19"/>
    <x v="1"/>
  </r>
  <r>
    <x v="8"/>
    <s v="Project 9 - Task 2"/>
    <s v="Person 5"/>
    <d v="2025-01-15T00:00:00"/>
    <x v="2"/>
    <x v="18"/>
    <x v="1"/>
  </r>
  <r>
    <x v="8"/>
    <s v="Project 9 - Task 3"/>
    <s v="Person 1"/>
    <d v="2025-01-18T00:00:00"/>
    <x v="1"/>
    <x v="7"/>
    <x v="1"/>
  </r>
  <r>
    <x v="8"/>
    <s v="Project 9 - Task 4"/>
    <s v="Person 2"/>
    <d v="2025-01-18T00:00:00"/>
    <x v="10"/>
    <x v="3"/>
    <x v="1"/>
  </r>
  <r>
    <x v="9"/>
    <s v="Project 10 - Task 1"/>
    <s v="Person 3"/>
    <d v="2025-01-21T00:00:00"/>
    <x v="9"/>
    <x v="9"/>
    <x v="1"/>
  </r>
  <r>
    <x v="9"/>
    <s v="Project 10 - Task 2"/>
    <s v="Person 4"/>
    <d v="2025-01-23T00:00:00"/>
    <x v="3"/>
    <x v="5"/>
    <x v="1"/>
  </r>
  <r>
    <x v="9"/>
    <s v="Project 10 - Task 3"/>
    <s v="Person 5"/>
    <d v="2025-01-13T00:00:00"/>
    <x v="12"/>
    <x v="7"/>
    <x v="1"/>
  </r>
  <r>
    <x v="9"/>
    <s v="Project 10 - Task 4"/>
    <s v="Person 1"/>
    <d v="2025-01-12T00:00:00"/>
    <x v="11"/>
    <x v="14"/>
    <x v="1"/>
  </r>
  <r>
    <x v="9"/>
    <s v="Project 10 - Task 5"/>
    <s v="Person 2"/>
    <d v="2025-01-14T00:00:00"/>
    <x v="8"/>
    <x v="7"/>
    <x v="1"/>
  </r>
  <r>
    <x v="9"/>
    <s v="Project 10 - Task 6"/>
    <s v="Person 3"/>
    <d v="2025-01-15T00:00:00"/>
    <x v="2"/>
    <x v="16"/>
    <x v="1"/>
  </r>
  <r>
    <x v="9"/>
    <s v="Project 10 - Task 7"/>
    <s v="Person 4"/>
    <d v="2025-01-15T00:00:00"/>
    <x v="2"/>
    <x v="9"/>
    <x v="1"/>
  </r>
  <r>
    <x v="9"/>
    <s v="Project 10 - Task 8"/>
    <s v="Person 5"/>
    <d v="2025-01-15T00:00:00"/>
    <x v="1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2E623-3707-4983-9297-26BEF3B312C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20:C24" firstHeaderRow="0" firstDataRow="1" firstDataCol="1"/>
  <pivotFields count="7">
    <pivotField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64" showAll="0"/>
    <pivotField showAll="0">
      <items count="14">
        <item x="11"/>
        <item x="10"/>
        <item x="12"/>
        <item x="1"/>
        <item x="8"/>
        <item x="9"/>
        <item x="3"/>
        <item x="2"/>
        <item x="5"/>
        <item x="0"/>
        <item x="7"/>
        <item x="4"/>
        <item x="6"/>
        <item t="default"/>
      </items>
    </pivotField>
    <pivotField numFmtId="9" showAll="0">
      <items count="22">
        <item x="12"/>
        <item x="16"/>
        <item x="5"/>
        <item x="20"/>
        <item x="18"/>
        <item x="14"/>
        <item x="7"/>
        <item x="15"/>
        <item x="1"/>
        <item x="2"/>
        <item x="6"/>
        <item x="10"/>
        <item x="8"/>
        <item x="17"/>
        <item x="9"/>
        <item x="11"/>
        <item x="4"/>
        <item x="3"/>
        <item x="13"/>
        <item x="19"/>
        <item x="0"/>
        <item t="default"/>
      </items>
    </pivotField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atus" fld="6" subtotal="count" showDataAs="percentOfTotal" baseField="0" baseItem="0" numFmtId="10"/>
    <dataField name="Count of status2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D5005-5819-4638-9AAF-268ECF954101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0" firstDataRow="1" firstDataCol="1"/>
  <pivotFields count="7"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numFmtId="164" showAll="0"/>
    <pivotField dataField="1" showAll="0"/>
    <pivotField dataField="1" numFmtId="9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Task" fld="1" subtotal="count" baseField="0" baseItem="0"/>
    <dataField name="Min of Start Date" fld="3" subtotal="min" baseField="0" baseItem="0" numFmtId="164"/>
    <dataField name="Sum of Days Required" fld="4" baseField="0" baseItem="0"/>
    <dataField name="Max of Progress" fld="5" subtotal="max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6B14-E427-4471-9213-0600E7D03272}">
  <dimension ref="A3:J32"/>
  <sheetViews>
    <sheetView topLeftCell="A16" workbookViewId="0">
      <selection activeCell="B29" sqref="B29:B32"/>
    </sheetView>
  </sheetViews>
  <sheetFormatPr defaultRowHeight="14.4" x14ac:dyDescent="0.3"/>
  <cols>
    <col min="1" max="1" width="14.296875" bestFit="1" customWidth="1"/>
    <col min="2" max="2" width="14.19921875" bestFit="1" customWidth="1"/>
    <col min="3" max="3" width="15.19921875" bestFit="1" customWidth="1"/>
    <col min="4" max="5" width="14.59765625" bestFit="1" customWidth="1"/>
    <col min="6" max="18" width="9" bestFit="1" customWidth="1"/>
    <col min="19" max="19" width="10.8984375" bestFit="1" customWidth="1"/>
    <col min="20" max="20" width="16.19921875" bestFit="1" customWidth="1"/>
    <col min="21" max="67" width="15.19921875" bestFit="1" customWidth="1"/>
    <col min="68" max="69" width="16.19921875" bestFit="1" customWidth="1"/>
    <col min="70" max="81" width="15.19921875" bestFit="1" customWidth="1"/>
    <col min="82" max="82" width="10.8984375" bestFit="1" customWidth="1"/>
  </cols>
  <sheetData>
    <row r="3" spans="1:10" x14ac:dyDescent="0.3">
      <c r="A3" s="9" t="s">
        <v>101</v>
      </c>
      <c r="B3" t="s">
        <v>103</v>
      </c>
      <c r="C3" t="s">
        <v>105</v>
      </c>
      <c r="D3" t="s">
        <v>104</v>
      </c>
      <c r="E3" t="s">
        <v>106</v>
      </c>
    </row>
    <row r="4" spans="1:10" x14ac:dyDescent="0.3">
      <c r="A4" s="10" t="s">
        <v>6</v>
      </c>
      <c r="B4" s="11">
        <v>10</v>
      </c>
      <c r="C4" s="12">
        <v>45666</v>
      </c>
      <c r="D4" s="11">
        <v>168</v>
      </c>
      <c r="E4" s="13">
        <v>1</v>
      </c>
      <c r="H4" s="10" t="s">
        <v>6</v>
      </c>
      <c r="I4" s="13">
        <v>0.01</v>
      </c>
      <c r="J4" s="13">
        <f>1-I4</f>
        <v>0.99</v>
      </c>
    </row>
    <row r="5" spans="1:10" x14ac:dyDescent="0.3">
      <c r="A5" s="10" t="s">
        <v>92</v>
      </c>
      <c r="B5" s="11">
        <v>8</v>
      </c>
      <c r="C5" s="12">
        <v>45669</v>
      </c>
      <c r="D5" s="11">
        <v>55</v>
      </c>
      <c r="E5" s="13">
        <v>0.85</v>
      </c>
      <c r="H5" s="10" t="s">
        <v>92</v>
      </c>
      <c r="I5" s="13">
        <v>0.85</v>
      </c>
      <c r="J5" s="13">
        <f>1-I5</f>
        <v>0.15000000000000002</v>
      </c>
    </row>
    <row r="6" spans="1:10" x14ac:dyDescent="0.3">
      <c r="A6" s="10" t="s">
        <v>22</v>
      </c>
      <c r="B6" s="11">
        <v>10</v>
      </c>
      <c r="C6" s="12">
        <v>45663</v>
      </c>
      <c r="D6" s="11">
        <v>61</v>
      </c>
      <c r="E6" s="13">
        <v>1</v>
      </c>
      <c r="H6" s="10" t="s">
        <v>22</v>
      </c>
      <c r="I6" s="13">
        <v>1</v>
      </c>
      <c r="J6" s="13">
        <f t="shared" ref="J5:J13" si="0">1-I6</f>
        <v>0</v>
      </c>
    </row>
    <row r="7" spans="1:10" x14ac:dyDescent="0.3">
      <c r="A7" s="10" t="s">
        <v>33</v>
      </c>
      <c r="B7" s="11">
        <v>5</v>
      </c>
      <c r="C7" s="12">
        <v>45662</v>
      </c>
      <c r="D7" s="11">
        <v>32</v>
      </c>
      <c r="E7" s="13">
        <v>1</v>
      </c>
      <c r="H7" s="10" t="s">
        <v>33</v>
      </c>
      <c r="I7" s="13">
        <v>1</v>
      </c>
      <c r="J7" s="13">
        <f t="shared" si="0"/>
        <v>0</v>
      </c>
    </row>
    <row r="8" spans="1:10" x14ac:dyDescent="0.3">
      <c r="A8" s="10" t="s">
        <v>39</v>
      </c>
      <c r="B8" s="11">
        <v>7</v>
      </c>
      <c r="C8" s="12">
        <v>45666</v>
      </c>
      <c r="D8" s="11">
        <v>51</v>
      </c>
      <c r="E8" s="13">
        <v>0.5</v>
      </c>
      <c r="H8" s="10" t="s">
        <v>39</v>
      </c>
      <c r="I8" s="13">
        <v>0.5</v>
      </c>
      <c r="J8" s="13">
        <f t="shared" si="0"/>
        <v>0.5</v>
      </c>
    </row>
    <row r="9" spans="1:10" x14ac:dyDescent="0.3">
      <c r="A9" s="10" t="s">
        <v>47</v>
      </c>
      <c r="B9" s="11">
        <v>8</v>
      </c>
      <c r="C9" s="12">
        <v>45669</v>
      </c>
      <c r="D9" s="11">
        <v>55</v>
      </c>
      <c r="E9" s="13">
        <v>1</v>
      </c>
      <c r="H9" s="10" t="s">
        <v>47</v>
      </c>
      <c r="I9" s="13">
        <v>1</v>
      </c>
      <c r="J9" s="13">
        <f t="shared" si="0"/>
        <v>0</v>
      </c>
    </row>
    <row r="10" spans="1:10" x14ac:dyDescent="0.3">
      <c r="A10" s="10" t="s">
        <v>56</v>
      </c>
      <c r="B10" s="11">
        <v>8</v>
      </c>
      <c r="C10" s="12">
        <v>45666</v>
      </c>
      <c r="D10" s="11">
        <v>52</v>
      </c>
      <c r="E10" s="13">
        <v>0.95</v>
      </c>
      <c r="H10" s="10" t="s">
        <v>56</v>
      </c>
      <c r="I10" s="13">
        <v>0.95</v>
      </c>
      <c r="J10" s="13">
        <f t="shared" si="0"/>
        <v>5.0000000000000044E-2</v>
      </c>
    </row>
    <row r="11" spans="1:10" x14ac:dyDescent="0.3">
      <c r="A11" s="10" t="s">
        <v>65</v>
      </c>
      <c r="B11" s="11">
        <v>9</v>
      </c>
      <c r="C11" s="12">
        <v>45663</v>
      </c>
      <c r="D11" s="11">
        <v>62</v>
      </c>
      <c r="E11" s="13">
        <v>0.95</v>
      </c>
      <c r="H11" s="10" t="s">
        <v>65</v>
      </c>
      <c r="I11" s="13">
        <v>0.95</v>
      </c>
      <c r="J11" s="13">
        <f t="shared" si="0"/>
        <v>5.0000000000000044E-2</v>
      </c>
    </row>
    <row r="12" spans="1:10" x14ac:dyDescent="0.3">
      <c r="A12" s="10" t="s">
        <v>75</v>
      </c>
      <c r="B12" s="11">
        <v>11</v>
      </c>
      <c r="C12" s="12">
        <v>45662</v>
      </c>
      <c r="D12" s="11">
        <v>69</v>
      </c>
      <c r="E12" s="13">
        <v>0.95</v>
      </c>
      <c r="H12" s="10" t="s">
        <v>75</v>
      </c>
      <c r="I12" s="13">
        <v>0.95</v>
      </c>
      <c r="J12" s="13">
        <f t="shared" si="0"/>
        <v>5.0000000000000044E-2</v>
      </c>
    </row>
    <row r="13" spans="1:10" x14ac:dyDescent="0.3">
      <c r="A13" s="10" t="s">
        <v>87</v>
      </c>
      <c r="B13" s="11">
        <v>4</v>
      </c>
      <c r="C13" s="12">
        <v>45669</v>
      </c>
      <c r="D13" s="11">
        <v>28</v>
      </c>
      <c r="E13" s="13">
        <v>0.95</v>
      </c>
      <c r="H13" s="10" t="s">
        <v>87</v>
      </c>
      <c r="I13" s="13">
        <v>0.95</v>
      </c>
      <c r="J13" s="13">
        <f t="shared" si="0"/>
        <v>5.0000000000000044E-2</v>
      </c>
    </row>
    <row r="14" spans="1:10" x14ac:dyDescent="0.3">
      <c r="A14" s="10" t="s">
        <v>102</v>
      </c>
      <c r="B14" s="11">
        <v>80</v>
      </c>
      <c r="C14" s="12">
        <v>45662</v>
      </c>
      <c r="D14" s="11">
        <v>633</v>
      </c>
      <c r="E14" s="13">
        <v>1</v>
      </c>
      <c r="I14" s="13">
        <f>AVERAGE(I4:I13)</f>
        <v>0.81600000000000006</v>
      </c>
      <c r="J14" s="13">
        <f>AVERAGE(J4:J13)</f>
        <v>0.18400000000000002</v>
      </c>
    </row>
    <row r="20" spans="1:3" x14ac:dyDescent="0.3">
      <c r="A20" s="9" t="s">
        <v>101</v>
      </c>
      <c r="B20" t="s">
        <v>111</v>
      </c>
      <c r="C20" t="s">
        <v>112</v>
      </c>
    </row>
    <row r="21" spans="1:3" x14ac:dyDescent="0.3">
      <c r="A21" s="10" t="s">
        <v>109</v>
      </c>
      <c r="B21" s="15">
        <v>0.91249999999999998</v>
      </c>
      <c r="C21" s="11">
        <v>73</v>
      </c>
    </row>
    <row r="22" spans="1:3" x14ac:dyDescent="0.3">
      <c r="A22" s="10" t="s">
        <v>108</v>
      </c>
      <c r="B22" s="15">
        <v>0.05</v>
      </c>
      <c r="C22" s="11">
        <v>4</v>
      </c>
    </row>
    <row r="23" spans="1:3" x14ac:dyDescent="0.3">
      <c r="A23" s="10" t="s">
        <v>110</v>
      </c>
      <c r="B23" s="15">
        <v>3.7499999999999999E-2</v>
      </c>
      <c r="C23" s="11">
        <v>3</v>
      </c>
    </row>
    <row r="24" spans="1:3" x14ac:dyDescent="0.3">
      <c r="A24" s="10" t="s">
        <v>102</v>
      </c>
      <c r="B24" s="15">
        <v>1</v>
      </c>
      <c r="C24" s="11">
        <v>80</v>
      </c>
    </row>
    <row r="28" spans="1:3" x14ac:dyDescent="0.3">
      <c r="A28" t="s">
        <v>101</v>
      </c>
      <c r="B28" t="s">
        <v>111</v>
      </c>
      <c r="C28" t="s">
        <v>112</v>
      </c>
    </row>
    <row r="29" spans="1:3" x14ac:dyDescent="0.3">
      <c r="A29" t="str">
        <f>"Grand Total     " &amp;C29</f>
        <v>Grand Total     80</v>
      </c>
      <c r="B29" s="13">
        <v>1</v>
      </c>
      <c r="C29">
        <v>80</v>
      </c>
    </row>
    <row r="30" spans="1:3" x14ac:dyDescent="0.3">
      <c r="A30" t="str">
        <f>"In Progress     " &amp;C30</f>
        <v>In Progress     73</v>
      </c>
      <c r="B30" s="13">
        <v>0.91249999999999998</v>
      </c>
      <c r="C30">
        <v>73</v>
      </c>
    </row>
    <row r="31" spans="1:3" x14ac:dyDescent="0.3">
      <c r="A31" t="str">
        <f>"Done     "&amp;C31</f>
        <v>Done     4</v>
      </c>
      <c r="B31" s="13">
        <v>0.05</v>
      </c>
      <c r="C31">
        <v>4</v>
      </c>
    </row>
    <row r="32" spans="1:3" x14ac:dyDescent="0.3">
      <c r="A32" t="str">
        <f>"Not started     "&amp;C32</f>
        <v>Not started     3</v>
      </c>
      <c r="B32" s="13">
        <v>3.7499999999999999E-2</v>
      </c>
      <c r="C3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9B1B-E3A3-4DA6-9EF8-DDBA408118B9}">
  <dimension ref="A1:A3"/>
  <sheetViews>
    <sheetView tabSelected="1" workbookViewId="0">
      <selection activeCell="M22" sqref="M22"/>
    </sheetView>
  </sheetViews>
  <sheetFormatPr defaultRowHeight="14.4" x14ac:dyDescent="0.3"/>
  <sheetData>
    <row r="1" customFormat="1" x14ac:dyDescent="0.3"/>
    <row r="2" customFormat="1" x14ac:dyDescent="0.3"/>
    <row r="3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E733-D974-4725-A9D5-B7804E69CAB3}">
  <dimension ref="A1:G81"/>
  <sheetViews>
    <sheetView workbookViewId="0">
      <selection activeCell="R76" sqref="R76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4" t="s">
        <v>107</v>
      </c>
    </row>
    <row r="2" spans="1:7" x14ac:dyDescent="0.3">
      <c r="A2" s="3" t="s">
        <v>6</v>
      </c>
      <c r="B2" s="3" t="s">
        <v>7</v>
      </c>
      <c r="C2" s="3" t="s">
        <v>8</v>
      </c>
      <c r="D2" s="4">
        <v>45666</v>
      </c>
      <c r="E2" s="3">
        <v>20</v>
      </c>
      <c r="F2" s="5">
        <v>1</v>
      </c>
      <c r="G2" t="str">
        <f>IF(F2=1,"Done",IF(F2=0,"Not started","In Progress"))</f>
        <v>Done</v>
      </c>
    </row>
    <row r="3" spans="1:7" x14ac:dyDescent="0.3">
      <c r="A3" s="6" t="s">
        <v>6</v>
      </c>
      <c r="B3" s="6" t="s">
        <v>9</v>
      </c>
      <c r="C3" s="6" t="s">
        <v>10</v>
      </c>
      <c r="D3" s="7">
        <v>45667</v>
      </c>
      <c r="E3" s="6">
        <v>6</v>
      </c>
      <c r="F3" s="8">
        <v>0.4</v>
      </c>
      <c r="G3" t="str">
        <f t="shared" ref="G3:G66" si="0">IF(F3=1,"Done",IF(F3=0,"Not started","In Progress"))</f>
        <v>In Progress</v>
      </c>
    </row>
    <row r="4" spans="1:7" x14ac:dyDescent="0.3">
      <c r="A4" s="3" t="s">
        <v>6</v>
      </c>
      <c r="B4" s="3" t="s">
        <v>11</v>
      </c>
      <c r="C4" s="3" t="s">
        <v>12</v>
      </c>
      <c r="D4" s="4">
        <v>45668</v>
      </c>
      <c r="E4" s="3">
        <v>10</v>
      </c>
      <c r="F4" s="5">
        <v>0.45</v>
      </c>
      <c r="G4" t="str">
        <f t="shared" si="0"/>
        <v>In Progress</v>
      </c>
    </row>
    <row r="5" spans="1:7" x14ac:dyDescent="0.3">
      <c r="A5" s="6" t="s">
        <v>6</v>
      </c>
      <c r="B5" s="6" t="s">
        <v>13</v>
      </c>
      <c r="C5" s="6" t="s">
        <v>14</v>
      </c>
      <c r="D5" s="7">
        <v>45671</v>
      </c>
      <c r="E5" s="6">
        <v>9</v>
      </c>
      <c r="F5" s="8">
        <v>0.85</v>
      </c>
      <c r="G5" t="str">
        <f t="shared" si="0"/>
        <v>In Progress</v>
      </c>
    </row>
    <row r="6" spans="1:7" x14ac:dyDescent="0.3">
      <c r="A6" s="3" t="s">
        <v>6</v>
      </c>
      <c r="B6" s="3" t="s">
        <v>15</v>
      </c>
      <c r="C6" s="3" t="s">
        <v>16</v>
      </c>
      <c r="D6" s="4">
        <v>45667</v>
      </c>
      <c r="E6" s="3">
        <v>30</v>
      </c>
      <c r="F6" s="5">
        <v>0.45</v>
      </c>
      <c r="G6" t="str">
        <f t="shared" si="0"/>
        <v>In Progress</v>
      </c>
    </row>
    <row r="7" spans="1:7" x14ac:dyDescent="0.3">
      <c r="A7" s="6" t="s">
        <v>6</v>
      </c>
      <c r="B7" s="6" t="s">
        <v>17</v>
      </c>
      <c r="C7" s="6" t="s">
        <v>8</v>
      </c>
      <c r="D7" s="7">
        <v>45670</v>
      </c>
      <c r="E7" s="6">
        <v>12</v>
      </c>
      <c r="F7" s="8">
        <v>0.8</v>
      </c>
      <c r="G7" t="str">
        <f t="shared" si="0"/>
        <v>In Progress</v>
      </c>
    </row>
    <row r="8" spans="1:7" x14ac:dyDescent="0.3">
      <c r="A8" s="3" t="s">
        <v>6</v>
      </c>
      <c r="B8" s="3" t="s">
        <v>18</v>
      </c>
      <c r="C8" s="3" t="s">
        <v>10</v>
      </c>
      <c r="D8" s="4">
        <v>45670</v>
      </c>
      <c r="E8" s="3">
        <v>43</v>
      </c>
      <c r="F8" s="5">
        <v>0.1</v>
      </c>
      <c r="G8" t="str">
        <f t="shared" si="0"/>
        <v>In Progress</v>
      </c>
    </row>
    <row r="9" spans="1:7" x14ac:dyDescent="0.3">
      <c r="A9" s="6" t="s">
        <v>6</v>
      </c>
      <c r="B9" s="6" t="s">
        <v>19</v>
      </c>
      <c r="C9" s="6" t="s">
        <v>12</v>
      </c>
      <c r="D9" s="7">
        <v>45672</v>
      </c>
      <c r="E9" s="6">
        <v>23</v>
      </c>
      <c r="F9" s="8">
        <v>0.5</v>
      </c>
      <c r="G9" t="str">
        <f t="shared" si="0"/>
        <v>In Progress</v>
      </c>
    </row>
    <row r="10" spans="1:7" x14ac:dyDescent="0.3">
      <c r="A10" s="3" t="s">
        <v>6</v>
      </c>
      <c r="B10" s="3" t="s">
        <v>20</v>
      </c>
      <c r="C10" s="3" t="s">
        <v>14</v>
      </c>
      <c r="D10" s="4">
        <v>45672</v>
      </c>
      <c r="E10" s="3">
        <v>9</v>
      </c>
      <c r="F10" s="5">
        <v>0.1</v>
      </c>
      <c r="G10" t="str">
        <f t="shared" si="0"/>
        <v>In Progress</v>
      </c>
    </row>
    <row r="11" spans="1:7" x14ac:dyDescent="0.3">
      <c r="A11" s="6" t="s">
        <v>6</v>
      </c>
      <c r="B11" s="6" t="s">
        <v>21</v>
      </c>
      <c r="C11" s="6" t="s">
        <v>16</v>
      </c>
      <c r="D11" s="7">
        <v>45673</v>
      </c>
      <c r="E11" s="6">
        <v>6</v>
      </c>
      <c r="F11" s="8">
        <v>0.3</v>
      </c>
      <c r="G11" t="str">
        <f t="shared" si="0"/>
        <v>In Progress</v>
      </c>
    </row>
    <row r="12" spans="1:7" x14ac:dyDescent="0.3">
      <c r="A12" s="3" t="s">
        <v>22</v>
      </c>
      <c r="B12" s="3" t="s">
        <v>23</v>
      </c>
      <c r="C12" s="3" t="s">
        <v>8</v>
      </c>
      <c r="D12" s="4">
        <v>45663</v>
      </c>
      <c r="E12" s="3">
        <v>7</v>
      </c>
      <c r="F12" s="5">
        <v>0.45</v>
      </c>
      <c r="G12" t="str">
        <f t="shared" si="0"/>
        <v>In Progress</v>
      </c>
    </row>
    <row r="13" spans="1:7" x14ac:dyDescent="0.3">
      <c r="A13" s="6" t="s">
        <v>22</v>
      </c>
      <c r="B13" s="6" t="s">
        <v>24</v>
      </c>
      <c r="C13" s="6" t="s">
        <v>10</v>
      </c>
      <c r="D13" s="7">
        <v>45667</v>
      </c>
      <c r="E13" s="6">
        <v>9</v>
      </c>
      <c r="F13" s="8">
        <v>1</v>
      </c>
      <c r="G13" t="str">
        <f t="shared" si="0"/>
        <v>Done</v>
      </c>
    </row>
    <row r="14" spans="1:7" x14ac:dyDescent="0.3">
      <c r="A14" s="3" t="s">
        <v>22</v>
      </c>
      <c r="B14" s="3" t="s">
        <v>25</v>
      </c>
      <c r="C14" s="3" t="s">
        <v>12</v>
      </c>
      <c r="D14" s="4">
        <v>45668</v>
      </c>
      <c r="E14" s="3">
        <v>8</v>
      </c>
      <c r="F14" s="5">
        <v>0.5</v>
      </c>
      <c r="G14" t="str">
        <f t="shared" si="0"/>
        <v>In Progress</v>
      </c>
    </row>
    <row r="15" spans="1:7" x14ac:dyDescent="0.3">
      <c r="A15" s="6" t="s">
        <v>22</v>
      </c>
      <c r="B15" s="6" t="s">
        <v>26</v>
      </c>
      <c r="C15" s="6" t="s">
        <v>14</v>
      </c>
      <c r="D15" s="7">
        <v>45670</v>
      </c>
      <c r="E15" s="6">
        <v>7</v>
      </c>
      <c r="F15" s="8">
        <v>0.6</v>
      </c>
      <c r="G15" t="str">
        <f t="shared" si="0"/>
        <v>In Progress</v>
      </c>
    </row>
    <row r="16" spans="1:7" x14ac:dyDescent="0.3">
      <c r="A16" s="3" t="s">
        <v>22</v>
      </c>
      <c r="B16" s="3" t="s">
        <v>27</v>
      </c>
      <c r="C16" s="3" t="s">
        <v>16</v>
      </c>
      <c r="D16" s="4">
        <v>45671</v>
      </c>
      <c r="E16" s="3">
        <v>4</v>
      </c>
      <c r="F16" s="5">
        <v>0.7</v>
      </c>
      <c r="G16" t="str">
        <f t="shared" si="0"/>
        <v>In Progress</v>
      </c>
    </row>
    <row r="17" spans="1:7" x14ac:dyDescent="0.3">
      <c r="A17" s="6" t="s">
        <v>22</v>
      </c>
      <c r="B17" s="6" t="s">
        <v>28</v>
      </c>
      <c r="C17" s="6" t="s">
        <v>8</v>
      </c>
      <c r="D17" s="7">
        <v>45671</v>
      </c>
      <c r="E17" s="6">
        <v>6</v>
      </c>
      <c r="F17" s="8">
        <v>0.55000000000000004</v>
      </c>
      <c r="G17" t="str">
        <f t="shared" si="0"/>
        <v>In Progress</v>
      </c>
    </row>
    <row r="18" spans="1:7" x14ac:dyDescent="0.3">
      <c r="A18" s="3" t="s">
        <v>22</v>
      </c>
      <c r="B18" s="3" t="s">
        <v>29</v>
      </c>
      <c r="C18" s="3" t="s">
        <v>10</v>
      </c>
      <c r="D18" s="4">
        <v>45674</v>
      </c>
      <c r="E18" s="3">
        <v>6</v>
      </c>
      <c r="F18" s="5">
        <v>0.75</v>
      </c>
      <c r="G18" t="str">
        <f t="shared" si="0"/>
        <v>In Progress</v>
      </c>
    </row>
    <row r="19" spans="1:7" x14ac:dyDescent="0.3">
      <c r="A19" s="6" t="s">
        <v>22</v>
      </c>
      <c r="B19" s="6" t="s">
        <v>30</v>
      </c>
      <c r="C19" s="6" t="s">
        <v>12</v>
      </c>
      <c r="D19" s="7">
        <v>45675</v>
      </c>
      <c r="E19" s="6">
        <v>4</v>
      </c>
      <c r="F19" s="8">
        <v>0</v>
      </c>
      <c r="G19" t="str">
        <f t="shared" si="0"/>
        <v>Not started</v>
      </c>
    </row>
    <row r="20" spans="1:7" x14ac:dyDescent="0.3">
      <c r="A20" s="3" t="s">
        <v>22</v>
      </c>
      <c r="B20" s="3" t="s">
        <v>31</v>
      </c>
      <c r="C20" s="3" t="s">
        <v>14</v>
      </c>
      <c r="D20" s="4">
        <v>45677</v>
      </c>
      <c r="E20" s="3">
        <v>7</v>
      </c>
      <c r="F20" s="5">
        <v>0.1</v>
      </c>
      <c r="G20" t="str">
        <f t="shared" si="0"/>
        <v>In Progress</v>
      </c>
    </row>
    <row r="21" spans="1:7" x14ac:dyDescent="0.3">
      <c r="A21" s="6" t="s">
        <v>22</v>
      </c>
      <c r="B21" s="6" t="s">
        <v>32</v>
      </c>
      <c r="C21" s="6" t="s">
        <v>16</v>
      </c>
      <c r="D21" s="7">
        <v>45666</v>
      </c>
      <c r="E21" s="6">
        <v>3</v>
      </c>
      <c r="F21" s="8">
        <v>0.85</v>
      </c>
      <c r="G21" t="str">
        <f t="shared" si="0"/>
        <v>In Progress</v>
      </c>
    </row>
    <row r="22" spans="1:7" x14ac:dyDescent="0.3">
      <c r="A22" s="3" t="s">
        <v>33</v>
      </c>
      <c r="B22" s="3" t="s">
        <v>34</v>
      </c>
      <c r="C22" s="3" t="s">
        <v>8</v>
      </c>
      <c r="D22" s="4">
        <v>45662</v>
      </c>
      <c r="E22" s="3">
        <v>10</v>
      </c>
      <c r="F22" s="5">
        <v>0.9</v>
      </c>
      <c r="G22" t="str">
        <f t="shared" si="0"/>
        <v>In Progress</v>
      </c>
    </row>
    <row r="23" spans="1:7" x14ac:dyDescent="0.3">
      <c r="A23" s="6" t="s">
        <v>33</v>
      </c>
      <c r="B23" s="6" t="s">
        <v>35</v>
      </c>
      <c r="C23" s="6" t="s">
        <v>10</v>
      </c>
      <c r="D23" s="7">
        <v>45671</v>
      </c>
      <c r="E23" s="6">
        <v>5</v>
      </c>
      <c r="F23" s="8">
        <v>0.85</v>
      </c>
      <c r="G23" t="str">
        <f t="shared" si="0"/>
        <v>In Progress</v>
      </c>
    </row>
    <row r="24" spans="1:7" x14ac:dyDescent="0.3">
      <c r="A24" s="3" t="s">
        <v>33</v>
      </c>
      <c r="B24" s="3" t="s">
        <v>36</v>
      </c>
      <c r="C24" s="3" t="s">
        <v>12</v>
      </c>
      <c r="D24" s="4">
        <v>45673</v>
      </c>
      <c r="E24" s="3">
        <v>7</v>
      </c>
      <c r="F24" s="5">
        <v>0.7</v>
      </c>
      <c r="G24" t="str">
        <f t="shared" si="0"/>
        <v>In Progress</v>
      </c>
    </row>
    <row r="25" spans="1:7" x14ac:dyDescent="0.3">
      <c r="A25" s="6" t="s">
        <v>33</v>
      </c>
      <c r="B25" s="6" t="s">
        <v>37</v>
      </c>
      <c r="C25" s="6" t="s">
        <v>14</v>
      </c>
      <c r="D25" s="7">
        <v>45676</v>
      </c>
      <c r="E25" s="6">
        <v>7</v>
      </c>
      <c r="F25" s="8">
        <v>0.25</v>
      </c>
      <c r="G25" t="str">
        <f t="shared" si="0"/>
        <v>In Progress</v>
      </c>
    </row>
    <row r="26" spans="1:7" x14ac:dyDescent="0.3">
      <c r="A26" s="3" t="s">
        <v>33</v>
      </c>
      <c r="B26" s="3" t="s">
        <v>38</v>
      </c>
      <c r="C26" s="3" t="s">
        <v>16</v>
      </c>
      <c r="D26" s="4">
        <v>45678</v>
      </c>
      <c r="E26" s="3">
        <v>3</v>
      </c>
      <c r="F26" s="5">
        <v>1</v>
      </c>
      <c r="G26" t="str">
        <f t="shared" si="0"/>
        <v>Done</v>
      </c>
    </row>
    <row r="27" spans="1:7" x14ac:dyDescent="0.3">
      <c r="A27" s="6" t="s">
        <v>39</v>
      </c>
      <c r="B27" s="6" t="s">
        <v>40</v>
      </c>
      <c r="C27" s="6" t="s">
        <v>8</v>
      </c>
      <c r="D27" s="7">
        <v>45680</v>
      </c>
      <c r="E27" s="6">
        <v>9</v>
      </c>
      <c r="F27" s="8">
        <v>0.1</v>
      </c>
      <c r="G27" t="str">
        <f t="shared" si="0"/>
        <v>In Progress</v>
      </c>
    </row>
    <row r="28" spans="1:7" x14ac:dyDescent="0.3">
      <c r="A28" s="3" t="s">
        <v>39</v>
      </c>
      <c r="B28" s="3" t="s">
        <v>41</v>
      </c>
      <c r="C28" s="3" t="s">
        <v>10</v>
      </c>
      <c r="D28" s="4">
        <v>45681</v>
      </c>
      <c r="E28" s="3">
        <v>10</v>
      </c>
      <c r="F28" s="5">
        <v>0.5</v>
      </c>
      <c r="G28" t="str">
        <f t="shared" si="0"/>
        <v>In Progress</v>
      </c>
    </row>
    <row r="29" spans="1:7" x14ac:dyDescent="0.3">
      <c r="A29" s="6" t="s">
        <v>39</v>
      </c>
      <c r="B29" s="6" t="s">
        <v>42</v>
      </c>
      <c r="C29" s="6" t="s">
        <v>12</v>
      </c>
      <c r="D29" s="7">
        <v>45666</v>
      </c>
      <c r="E29" s="6">
        <v>4</v>
      </c>
      <c r="F29" s="8">
        <v>0.25</v>
      </c>
      <c r="G29" t="str">
        <f t="shared" si="0"/>
        <v>In Progress</v>
      </c>
    </row>
    <row r="30" spans="1:7" x14ac:dyDescent="0.3">
      <c r="A30" s="3" t="s">
        <v>39</v>
      </c>
      <c r="B30" s="3" t="s">
        <v>43</v>
      </c>
      <c r="C30" s="3" t="s">
        <v>14</v>
      </c>
      <c r="D30" s="4">
        <v>45669</v>
      </c>
      <c r="E30" s="3">
        <v>8</v>
      </c>
      <c r="F30" s="5">
        <v>0.35</v>
      </c>
      <c r="G30" t="str">
        <f t="shared" si="0"/>
        <v>In Progress</v>
      </c>
    </row>
    <row r="31" spans="1:7" x14ac:dyDescent="0.3">
      <c r="A31" s="6" t="s">
        <v>39</v>
      </c>
      <c r="B31" s="6" t="s">
        <v>44</v>
      </c>
      <c r="C31" s="6" t="s">
        <v>16</v>
      </c>
      <c r="D31" s="7">
        <v>45672</v>
      </c>
      <c r="E31" s="6">
        <v>10</v>
      </c>
      <c r="F31" s="8">
        <v>0.3</v>
      </c>
      <c r="G31" t="str">
        <f t="shared" si="0"/>
        <v>In Progress</v>
      </c>
    </row>
    <row r="32" spans="1:7" x14ac:dyDescent="0.3">
      <c r="A32" s="3" t="s">
        <v>39</v>
      </c>
      <c r="B32" s="3" t="s">
        <v>45</v>
      </c>
      <c r="C32" s="3" t="s">
        <v>8</v>
      </c>
      <c r="D32" s="4">
        <v>45675</v>
      </c>
      <c r="E32" s="3">
        <v>6</v>
      </c>
      <c r="F32" s="5">
        <v>0.05</v>
      </c>
      <c r="G32" t="str">
        <f t="shared" si="0"/>
        <v>In Progress</v>
      </c>
    </row>
    <row r="33" spans="1:7" x14ac:dyDescent="0.3">
      <c r="A33" s="6" t="s">
        <v>39</v>
      </c>
      <c r="B33" s="6" t="s">
        <v>46</v>
      </c>
      <c r="C33" s="6" t="s">
        <v>10</v>
      </c>
      <c r="D33" s="7">
        <v>45675</v>
      </c>
      <c r="E33" s="6">
        <v>4</v>
      </c>
      <c r="F33" s="8">
        <v>0.1</v>
      </c>
      <c r="G33" t="str">
        <f t="shared" si="0"/>
        <v>In Progress</v>
      </c>
    </row>
    <row r="34" spans="1:7" x14ac:dyDescent="0.3">
      <c r="A34" s="3" t="s">
        <v>47</v>
      </c>
      <c r="B34" s="3" t="s">
        <v>48</v>
      </c>
      <c r="C34" s="3" t="s">
        <v>12</v>
      </c>
      <c r="D34" s="4">
        <v>45678</v>
      </c>
      <c r="E34" s="3">
        <v>8</v>
      </c>
      <c r="F34" s="5">
        <v>1</v>
      </c>
      <c r="G34" t="str">
        <f t="shared" si="0"/>
        <v>Done</v>
      </c>
    </row>
    <row r="35" spans="1:7" x14ac:dyDescent="0.3">
      <c r="A35" s="6" t="s">
        <v>47</v>
      </c>
      <c r="B35" s="6" t="s">
        <v>49</v>
      </c>
      <c r="C35" s="6" t="s">
        <v>14</v>
      </c>
      <c r="D35" s="7">
        <v>45680</v>
      </c>
      <c r="E35" s="6">
        <v>9</v>
      </c>
      <c r="F35" s="8">
        <v>0.9</v>
      </c>
      <c r="G35" t="str">
        <f t="shared" si="0"/>
        <v>In Progress</v>
      </c>
    </row>
    <row r="36" spans="1:7" x14ac:dyDescent="0.3">
      <c r="A36" s="3" t="s">
        <v>47</v>
      </c>
      <c r="B36" s="3" t="s">
        <v>50</v>
      </c>
      <c r="C36" s="3" t="s">
        <v>16</v>
      </c>
      <c r="D36" s="4">
        <v>45670</v>
      </c>
      <c r="E36" s="3">
        <v>5</v>
      </c>
      <c r="F36" s="5">
        <v>0.75</v>
      </c>
      <c r="G36" t="str">
        <f t="shared" si="0"/>
        <v>In Progress</v>
      </c>
    </row>
    <row r="37" spans="1:7" x14ac:dyDescent="0.3">
      <c r="A37" s="6" t="s">
        <v>47</v>
      </c>
      <c r="B37" s="6" t="s">
        <v>51</v>
      </c>
      <c r="C37" s="6" t="s">
        <v>8</v>
      </c>
      <c r="D37" s="7">
        <v>45669</v>
      </c>
      <c r="E37" s="6">
        <v>3</v>
      </c>
      <c r="F37" s="8">
        <v>0.8</v>
      </c>
      <c r="G37" t="str">
        <f t="shared" si="0"/>
        <v>In Progress</v>
      </c>
    </row>
    <row r="38" spans="1:7" x14ac:dyDescent="0.3">
      <c r="A38" s="3" t="s">
        <v>47</v>
      </c>
      <c r="B38" s="3" t="s">
        <v>52</v>
      </c>
      <c r="C38" s="3" t="s">
        <v>10</v>
      </c>
      <c r="D38" s="4">
        <v>45671</v>
      </c>
      <c r="E38" s="3">
        <v>7</v>
      </c>
      <c r="F38" s="5">
        <v>0.1</v>
      </c>
      <c r="G38" t="str">
        <f t="shared" si="0"/>
        <v>In Progress</v>
      </c>
    </row>
    <row r="39" spans="1:7" x14ac:dyDescent="0.3">
      <c r="A39" s="6" t="s">
        <v>47</v>
      </c>
      <c r="B39" s="6" t="s">
        <v>53</v>
      </c>
      <c r="C39" s="6" t="s">
        <v>12</v>
      </c>
      <c r="D39" s="7">
        <v>45672</v>
      </c>
      <c r="E39" s="6">
        <v>10</v>
      </c>
      <c r="F39" s="8">
        <v>0.25</v>
      </c>
      <c r="G39" t="str">
        <f t="shared" si="0"/>
        <v>In Progress</v>
      </c>
    </row>
    <row r="40" spans="1:7" x14ac:dyDescent="0.3">
      <c r="A40" s="3" t="s">
        <v>47</v>
      </c>
      <c r="B40" s="3" t="s">
        <v>54</v>
      </c>
      <c r="C40" s="3" t="s">
        <v>14</v>
      </c>
      <c r="D40" s="4">
        <v>45672</v>
      </c>
      <c r="E40" s="3">
        <v>10</v>
      </c>
      <c r="F40" s="5">
        <v>0.85</v>
      </c>
      <c r="G40" t="str">
        <f t="shared" si="0"/>
        <v>In Progress</v>
      </c>
    </row>
    <row r="41" spans="1:7" x14ac:dyDescent="0.3">
      <c r="A41" s="6" t="s">
        <v>47</v>
      </c>
      <c r="B41" s="6" t="s">
        <v>55</v>
      </c>
      <c r="C41" s="6" t="s">
        <v>16</v>
      </c>
      <c r="D41" s="7">
        <v>45672</v>
      </c>
      <c r="E41" s="6">
        <v>3</v>
      </c>
      <c r="F41" s="8">
        <v>0.75</v>
      </c>
      <c r="G41" t="str">
        <f t="shared" si="0"/>
        <v>In Progress</v>
      </c>
    </row>
    <row r="42" spans="1:7" x14ac:dyDescent="0.3">
      <c r="A42" s="3" t="s">
        <v>56</v>
      </c>
      <c r="B42" s="3" t="s">
        <v>57</v>
      </c>
      <c r="C42" s="3" t="s">
        <v>8</v>
      </c>
      <c r="D42" s="4">
        <v>45666</v>
      </c>
      <c r="E42" s="3">
        <v>5</v>
      </c>
      <c r="F42" s="5">
        <v>0.65</v>
      </c>
      <c r="G42" t="str">
        <f t="shared" si="0"/>
        <v>In Progress</v>
      </c>
    </row>
    <row r="43" spans="1:7" x14ac:dyDescent="0.3">
      <c r="A43" s="6" t="s">
        <v>56</v>
      </c>
      <c r="B43" s="6" t="s">
        <v>58</v>
      </c>
      <c r="C43" s="6" t="s">
        <v>10</v>
      </c>
      <c r="D43" s="7">
        <v>45667</v>
      </c>
      <c r="E43" s="6">
        <v>6</v>
      </c>
      <c r="F43" s="8">
        <v>0.2</v>
      </c>
      <c r="G43" t="str">
        <f t="shared" si="0"/>
        <v>In Progress</v>
      </c>
    </row>
    <row r="44" spans="1:7" x14ac:dyDescent="0.3">
      <c r="A44" s="3" t="s">
        <v>56</v>
      </c>
      <c r="B44" s="3" t="s">
        <v>59</v>
      </c>
      <c r="C44" s="3" t="s">
        <v>12</v>
      </c>
      <c r="D44" s="4">
        <v>45668</v>
      </c>
      <c r="E44" s="3">
        <v>10</v>
      </c>
      <c r="F44" s="5">
        <v>0.75</v>
      </c>
      <c r="G44" t="str">
        <f t="shared" si="0"/>
        <v>In Progress</v>
      </c>
    </row>
    <row r="45" spans="1:7" x14ac:dyDescent="0.3">
      <c r="A45" s="6" t="s">
        <v>56</v>
      </c>
      <c r="B45" s="6" t="s">
        <v>60</v>
      </c>
      <c r="C45" s="6" t="s">
        <v>14</v>
      </c>
      <c r="D45" s="7">
        <v>45671</v>
      </c>
      <c r="E45" s="6">
        <v>9</v>
      </c>
      <c r="F45" s="8">
        <v>0.95</v>
      </c>
      <c r="G45" t="str">
        <f t="shared" si="0"/>
        <v>In Progress</v>
      </c>
    </row>
    <row r="46" spans="1:7" x14ac:dyDescent="0.3">
      <c r="A46" s="3" t="s">
        <v>56</v>
      </c>
      <c r="B46" s="3" t="s">
        <v>61</v>
      </c>
      <c r="C46" s="3" t="s">
        <v>16</v>
      </c>
      <c r="D46" s="4">
        <v>45667</v>
      </c>
      <c r="E46" s="3">
        <v>4</v>
      </c>
      <c r="F46" s="5">
        <v>0.4</v>
      </c>
      <c r="G46" t="str">
        <f t="shared" si="0"/>
        <v>In Progress</v>
      </c>
    </row>
    <row r="47" spans="1:7" x14ac:dyDescent="0.3">
      <c r="A47" s="6" t="s">
        <v>56</v>
      </c>
      <c r="B47" s="6" t="s">
        <v>62</v>
      </c>
      <c r="C47" s="6" t="s">
        <v>8</v>
      </c>
      <c r="D47" s="7">
        <v>45670</v>
      </c>
      <c r="E47" s="6">
        <v>6</v>
      </c>
      <c r="F47" s="8">
        <v>0</v>
      </c>
      <c r="G47" t="str">
        <f t="shared" si="0"/>
        <v>Not started</v>
      </c>
    </row>
    <row r="48" spans="1:7" x14ac:dyDescent="0.3">
      <c r="A48" s="3" t="s">
        <v>56</v>
      </c>
      <c r="B48" s="3" t="s">
        <v>63</v>
      </c>
      <c r="C48" s="3" t="s">
        <v>10</v>
      </c>
      <c r="D48" s="4">
        <v>45670</v>
      </c>
      <c r="E48" s="3">
        <v>7</v>
      </c>
      <c r="F48" s="5">
        <v>0.55000000000000004</v>
      </c>
      <c r="G48" t="str">
        <f t="shared" si="0"/>
        <v>In Progress</v>
      </c>
    </row>
    <row r="49" spans="1:7" x14ac:dyDescent="0.3">
      <c r="A49" s="6" t="s">
        <v>56</v>
      </c>
      <c r="B49" s="6" t="s">
        <v>64</v>
      </c>
      <c r="C49" s="6" t="s">
        <v>12</v>
      </c>
      <c r="D49" s="7">
        <v>45672</v>
      </c>
      <c r="E49" s="6">
        <v>5</v>
      </c>
      <c r="F49" s="8">
        <v>0.5</v>
      </c>
      <c r="G49" t="str">
        <f t="shared" si="0"/>
        <v>In Progress</v>
      </c>
    </row>
    <row r="50" spans="1:7" x14ac:dyDescent="0.3">
      <c r="A50" s="3" t="s">
        <v>65</v>
      </c>
      <c r="B50" s="3" t="s">
        <v>66</v>
      </c>
      <c r="C50" s="3" t="s">
        <v>14</v>
      </c>
      <c r="D50" s="4">
        <v>45672</v>
      </c>
      <c r="E50" s="3">
        <v>9</v>
      </c>
      <c r="F50" s="5">
        <v>0.7</v>
      </c>
      <c r="G50" t="str">
        <f t="shared" si="0"/>
        <v>In Progress</v>
      </c>
    </row>
    <row r="51" spans="1:7" x14ac:dyDescent="0.3">
      <c r="A51" s="6" t="s">
        <v>65</v>
      </c>
      <c r="B51" s="6" t="s">
        <v>67</v>
      </c>
      <c r="C51" s="6" t="s">
        <v>16</v>
      </c>
      <c r="D51" s="7">
        <v>45673</v>
      </c>
      <c r="E51" s="6">
        <v>6</v>
      </c>
      <c r="F51" s="8">
        <v>0.55000000000000004</v>
      </c>
      <c r="G51" t="str">
        <f t="shared" si="0"/>
        <v>In Progress</v>
      </c>
    </row>
    <row r="52" spans="1:7" x14ac:dyDescent="0.3">
      <c r="A52" s="3" t="s">
        <v>65</v>
      </c>
      <c r="B52" s="3" t="s">
        <v>68</v>
      </c>
      <c r="C52" s="3" t="s">
        <v>8</v>
      </c>
      <c r="D52" s="4">
        <v>45663</v>
      </c>
      <c r="E52" s="3">
        <v>7</v>
      </c>
      <c r="F52" s="5">
        <v>0.95</v>
      </c>
      <c r="G52" t="str">
        <f t="shared" si="0"/>
        <v>In Progress</v>
      </c>
    </row>
    <row r="53" spans="1:7" x14ac:dyDescent="0.3">
      <c r="A53" s="6" t="s">
        <v>65</v>
      </c>
      <c r="B53" s="6" t="s">
        <v>69</v>
      </c>
      <c r="C53" s="6" t="s">
        <v>10</v>
      </c>
      <c r="D53" s="7">
        <v>45667</v>
      </c>
      <c r="E53" s="6">
        <v>9</v>
      </c>
      <c r="F53" s="8">
        <v>0.5</v>
      </c>
      <c r="G53" t="str">
        <f t="shared" si="0"/>
        <v>In Progress</v>
      </c>
    </row>
    <row r="54" spans="1:7" x14ac:dyDescent="0.3">
      <c r="A54" s="3" t="s">
        <v>65</v>
      </c>
      <c r="B54" s="3" t="s">
        <v>70</v>
      </c>
      <c r="C54" s="3" t="s">
        <v>12</v>
      </c>
      <c r="D54" s="4">
        <v>45668</v>
      </c>
      <c r="E54" s="3">
        <v>8</v>
      </c>
      <c r="F54" s="5">
        <v>0.2</v>
      </c>
      <c r="G54" t="str">
        <f t="shared" si="0"/>
        <v>In Progress</v>
      </c>
    </row>
    <row r="55" spans="1:7" x14ac:dyDescent="0.3">
      <c r="A55" s="6" t="s">
        <v>65</v>
      </c>
      <c r="B55" s="6" t="s">
        <v>71</v>
      </c>
      <c r="C55" s="6" t="s">
        <v>14</v>
      </c>
      <c r="D55" s="7">
        <v>45670</v>
      </c>
      <c r="E55" s="6">
        <v>7</v>
      </c>
      <c r="F55" s="8">
        <v>0.55000000000000004</v>
      </c>
      <c r="G55" t="str">
        <f t="shared" si="0"/>
        <v>In Progress</v>
      </c>
    </row>
    <row r="56" spans="1:7" x14ac:dyDescent="0.3">
      <c r="A56" s="3" t="s">
        <v>65</v>
      </c>
      <c r="B56" s="3" t="s">
        <v>72</v>
      </c>
      <c r="C56" s="3" t="s">
        <v>16</v>
      </c>
      <c r="D56" s="4">
        <v>45671</v>
      </c>
      <c r="E56" s="3">
        <v>4</v>
      </c>
      <c r="F56" s="5">
        <v>0.05</v>
      </c>
      <c r="G56" t="str">
        <f t="shared" si="0"/>
        <v>In Progress</v>
      </c>
    </row>
    <row r="57" spans="1:7" x14ac:dyDescent="0.3">
      <c r="A57" s="6" t="s">
        <v>65</v>
      </c>
      <c r="B57" s="6" t="s">
        <v>73</v>
      </c>
      <c r="C57" s="6" t="s">
        <v>8</v>
      </c>
      <c r="D57" s="7">
        <v>45671</v>
      </c>
      <c r="E57" s="6">
        <v>6</v>
      </c>
      <c r="F57" s="8">
        <v>0</v>
      </c>
      <c r="G57" t="str">
        <f t="shared" si="0"/>
        <v>Not started</v>
      </c>
    </row>
    <row r="58" spans="1:7" x14ac:dyDescent="0.3">
      <c r="A58" s="3" t="s">
        <v>65</v>
      </c>
      <c r="B58" s="3" t="s">
        <v>74</v>
      </c>
      <c r="C58" s="3" t="s">
        <v>10</v>
      </c>
      <c r="D58" s="4">
        <v>45674</v>
      </c>
      <c r="E58" s="3">
        <v>6</v>
      </c>
      <c r="F58" s="5">
        <v>0.2</v>
      </c>
      <c r="G58" t="str">
        <f t="shared" si="0"/>
        <v>In Progress</v>
      </c>
    </row>
    <row r="59" spans="1:7" x14ac:dyDescent="0.3">
      <c r="A59" s="6" t="s">
        <v>75</v>
      </c>
      <c r="B59" s="6" t="s">
        <v>76</v>
      </c>
      <c r="C59" s="6" t="s">
        <v>12</v>
      </c>
      <c r="D59" s="7">
        <v>45675</v>
      </c>
      <c r="E59" s="6">
        <v>4</v>
      </c>
      <c r="F59" s="8">
        <v>0.15</v>
      </c>
      <c r="G59" t="str">
        <f t="shared" si="0"/>
        <v>In Progress</v>
      </c>
    </row>
    <row r="60" spans="1:7" x14ac:dyDescent="0.3">
      <c r="A60" s="3" t="s">
        <v>75</v>
      </c>
      <c r="B60" s="3" t="s">
        <v>77</v>
      </c>
      <c r="C60" s="3" t="s">
        <v>14</v>
      </c>
      <c r="D60" s="4">
        <v>45677</v>
      </c>
      <c r="E60" s="3">
        <v>7</v>
      </c>
      <c r="F60" s="5">
        <v>0.2</v>
      </c>
      <c r="G60" t="str">
        <f t="shared" si="0"/>
        <v>In Progress</v>
      </c>
    </row>
    <row r="61" spans="1:7" x14ac:dyDescent="0.3">
      <c r="A61" s="6" t="s">
        <v>75</v>
      </c>
      <c r="B61" s="6" t="s">
        <v>78</v>
      </c>
      <c r="C61" s="6" t="s">
        <v>16</v>
      </c>
      <c r="D61" s="7">
        <v>45666</v>
      </c>
      <c r="E61" s="6">
        <v>3</v>
      </c>
      <c r="F61" s="8">
        <v>0.25</v>
      </c>
      <c r="G61" t="str">
        <f t="shared" si="0"/>
        <v>In Progress</v>
      </c>
    </row>
    <row r="62" spans="1:7" x14ac:dyDescent="0.3">
      <c r="A62" s="3" t="s">
        <v>75</v>
      </c>
      <c r="B62" s="3" t="s">
        <v>79</v>
      </c>
      <c r="C62" s="3" t="s">
        <v>8</v>
      </c>
      <c r="D62" s="4">
        <v>45662</v>
      </c>
      <c r="E62" s="3">
        <v>10</v>
      </c>
      <c r="F62" s="5">
        <v>0.55000000000000004</v>
      </c>
      <c r="G62" t="str">
        <f t="shared" si="0"/>
        <v>In Progress</v>
      </c>
    </row>
    <row r="63" spans="1:7" x14ac:dyDescent="0.3">
      <c r="A63" s="6" t="s">
        <v>75</v>
      </c>
      <c r="B63" s="6" t="s">
        <v>80</v>
      </c>
      <c r="C63" s="6" t="s">
        <v>10</v>
      </c>
      <c r="D63" s="7">
        <v>45671</v>
      </c>
      <c r="E63" s="6">
        <v>5</v>
      </c>
      <c r="F63" s="8">
        <v>0.45</v>
      </c>
      <c r="G63" t="str">
        <f t="shared" si="0"/>
        <v>In Progress</v>
      </c>
    </row>
    <row r="64" spans="1:7" x14ac:dyDescent="0.3">
      <c r="A64" s="3" t="s">
        <v>75</v>
      </c>
      <c r="B64" s="3" t="s">
        <v>81</v>
      </c>
      <c r="C64" s="3" t="s">
        <v>12</v>
      </c>
      <c r="D64" s="4">
        <v>45673</v>
      </c>
      <c r="E64" s="3">
        <v>7</v>
      </c>
      <c r="F64" s="5">
        <v>0.9</v>
      </c>
      <c r="G64" t="str">
        <f t="shared" si="0"/>
        <v>In Progress</v>
      </c>
    </row>
    <row r="65" spans="1:7" x14ac:dyDescent="0.3">
      <c r="A65" s="6" t="s">
        <v>75</v>
      </c>
      <c r="B65" s="6" t="s">
        <v>82</v>
      </c>
      <c r="C65" s="6" t="s">
        <v>14</v>
      </c>
      <c r="D65" s="7">
        <v>45676</v>
      </c>
      <c r="E65" s="6">
        <v>7</v>
      </c>
      <c r="F65" s="8">
        <v>0.4</v>
      </c>
      <c r="G65" t="str">
        <f t="shared" si="0"/>
        <v>In Progress</v>
      </c>
    </row>
    <row r="66" spans="1:7" x14ac:dyDescent="0.3">
      <c r="A66" s="3" t="s">
        <v>75</v>
      </c>
      <c r="B66" s="3" t="s">
        <v>83</v>
      </c>
      <c r="C66" s="3" t="s">
        <v>16</v>
      </c>
      <c r="D66" s="4">
        <v>45678</v>
      </c>
      <c r="E66" s="3">
        <v>3</v>
      </c>
      <c r="F66" s="5">
        <v>0.55000000000000004</v>
      </c>
      <c r="G66" t="str">
        <f t="shared" si="0"/>
        <v>In Progress</v>
      </c>
    </row>
    <row r="67" spans="1:7" x14ac:dyDescent="0.3">
      <c r="A67" s="6" t="s">
        <v>75</v>
      </c>
      <c r="B67" s="6" t="s">
        <v>84</v>
      </c>
      <c r="C67" s="6" t="s">
        <v>8</v>
      </c>
      <c r="D67" s="7">
        <v>45680</v>
      </c>
      <c r="E67" s="6">
        <v>9</v>
      </c>
      <c r="F67" s="8">
        <v>0.95</v>
      </c>
      <c r="G67" t="str">
        <f t="shared" ref="G67:G81" si="1">IF(F67=1,"Done",IF(F67=0,"Not started","In Progress"))</f>
        <v>In Progress</v>
      </c>
    </row>
    <row r="68" spans="1:7" x14ac:dyDescent="0.3">
      <c r="A68" s="3" t="s">
        <v>75</v>
      </c>
      <c r="B68" s="3" t="s">
        <v>85</v>
      </c>
      <c r="C68" s="3" t="s">
        <v>10</v>
      </c>
      <c r="D68" s="4">
        <v>45681</v>
      </c>
      <c r="E68" s="3">
        <v>10</v>
      </c>
      <c r="F68" s="5">
        <v>0.15</v>
      </c>
      <c r="G68" t="str">
        <f t="shared" si="1"/>
        <v>In Progress</v>
      </c>
    </row>
    <row r="69" spans="1:7" x14ac:dyDescent="0.3">
      <c r="A69" s="6" t="s">
        <v>75</v>
      </c>
      <c r="B69" s="6" t="s">
        <v>86</v>
      </c>
      <c r="C69" s="6" t="s">
        <v>12</v>
      </c>
      <c r="D69" s="7">
        <v>45666</v>
      </c>
      <c r="E69" s="6">
        <v>4</v>
      </c>
      <c r="F69" s="8">
        <v>0.05</v>
      </c>
      <c r="G69" t="str">
        <f t="shared" si="1"/>
        <v>In Progress</v>
      </c>
    </row>
    <row r="70" spans="1:7" x14ac:dyDescent="0.3">
      <c r="A70" s="3" t="s">
        <v>87</v>
      </c>
      <c r="B70" s="3" t="s">
        <v>88</v>
      </c>
      <c r="C70" s="3" t="s">
        <v>14</v>
      </c>
      <c r="D70" s="4">
        <v>45669</v>
      </c>
      <c r="E70" s="3">
        <v>8</v>
      </c>
      <c r="F70" s="5">
        <v>0.95</v>
      </c>
      <c r="G70" t="str">
        <f t="shared" si="1"/>
        <v>In Progress</v>
      </c>
    </row>
    <row r="71" spans="1:7" x14ac:dyDescent="0.3">
      <c r="A71" s="6" t="s">
        <v>87</v>
      </c>
      <c r="B71" s="6" t="s">
        <v>89</v>
      </c>
      <c r="C71" s="6" t="s">
        <v>16</v>
      </c>
      <c r="D71" s="7">
        <v>45672</v>
      </c>
      <c r="E71" s="6">
        <v>10</v>
      </c>
      <c r="F71" s="8">
        <v>0.2</v>
      </c>
      <c r="G71" t="str">
        <f t="shared" si="1"/>
        <v>In Progress</v>
      </c>
    </row>
    <row r="72" spans="1:7" x14ac:dyDescent="0.3">
      <c r="A72" s="3" t="s">
        <v>87</v>
      </c>
      <c r="B72" s="3" t="s">
        <v>90</v>
      </c>
      <c r="C72" s="3" t="s">
        <v>8</v>
      </c>
      <c r="D72" s="4">
        <v>45675</v>
      </c>
      <c r="E72" s="3">
        <v>6</v>
      </c>
      <c r="F72" s="5">
        <v>0.3</v>
      </c>
      <c r="G72" t="str">
        <f t="shared" si="1"/>
        <v>In Progress</v>
      </c>
    </row>
    <row r="73" spans="1:7" x14ac:dyDescent="0.3">
      <c r="A73" s="6" t="s">
        <v>87</v>
      </c>
      <c r="B73" s="6" t="s">
        <v>91</v>
      </c>
      <c r="C73" s="6" t="s">
        <v>10</v>
      </c>
      <c r="D73" s="7">
        <v>45675</v>
      </c>
      <c r="E73" s="6">
        <v>4</v>
      </c>
      <c r="F73" s="8">
        <v>0.85</v>
      </c>
      <c r="G73" t="str">
        <f t="shared" si="1"/>
        <v>In Progress</v>
      </c>
    </row>
    <row r="74" spans="1:7" x14ac:dyDescent="0.3">
      <c r="A74" s="3" t="s">
        <v>92</v>
      </c>
      <c r="B74" s="3" t="s">
        <v>93</v>
      </c>
      <c r="C74" s="3" t="s">
        <v>12</v>
      </c>
      <c r="D74" s="4">
        <v>45678</v>
      </c>
      <c r="E74" s="3">
        <v>8</v>
      </c>
      <c r="F74" s="5">
        <v>0.7</v>
      </c>
      <c r="G74" t="str">
        <f t="shared" si="1"/>
        <v>In Progress</v>
      </c>
    </row>
    <row r="75" spans="1:7" x14ac:dyDescent="0.3">
      <c r="A75" s="6" t="s">
        <v>92</v>
      </c>
      <c r="B75" s="6" t="s">
        <v>94</v>
      </c>
      <c r="C75" s="6" t="s">
        <v>14</v>
      </c>
      <c r="D75" s="7">
        <v>45680</v>
      </c>
      <c r="E75" s="6">
        <v>9</v>
      </c>
      <c r="F75" s="8">
        <v>0.1</v>
      </c>
      <c r="G75" t="str">
        <f t="shared" si="1"/>
        <v>In Progress</v>
      </c>
    </row>
    <row r="76" spans="1:7" x14ac:dyDescent="0.3">
      <c r="A76" s="3" t="s">
        <v>92</v>
      </c>
      <c r="B76" s="3" t="s">
        <v>95</v>
      </c>
      <c r="C76" s="3" t="s">
        <v>16</v>
      </c>
      <c r="D76" s="4">
        <v>45670</v>
      </c>
      <c r="E76" s="3">
        <v>5</v>
      </c>
      <c r="F76" s="5">
        <v>0.3</v>
      </c>
      <c r="G76" t="str">
        <f t="shared" si="1"/>
        <v>In Progress</v>
      </c>
    </row>
    <row r="77" spans="1:7" x14ac:dyDescent="0.3">
      <c r="A77" s="6" t="s">
        <v>92</v>
      </c>
      <c r="B77" s="6" t="s">
        <v>96</v>
      </c>
      <c r="C77" s="6" t="s">
        <v>8</v>
      </c>
      <c r="D77" s="7">
        <v>45669</v>
      </c>
      <c r="E77" s="6">
        <v>3</v>
      </c>
      <c r="F77" s="8">
        <v>0.25</v>
      </c>
      <c r="G77" t="str">
        <f t="shared" si="1"/>
        <v>In Progress</v>
      </c>
    </row>
    <row r="78" spans="1:7" x14ac:dyDescent="0.3">
      <c r="A78" s="3" t="s">
        <v>92</v>
      </c>
      <c r="B78" s="3" t="s">
        <v>97</v>
      </c>
      <c r="C78" s="3" t="s">
        <v>10</v>
      </c>
      <c r="D78" s="4">
        <v>45671</v>
      </c>
      <c r="E78" s="3">
        <v>7</v>
      </c>
      <c r="F78" s="5">
        <v>0.3</v>
      </c>
      <c r="G78" t="str">
        <f t="shared" si="1"/>
        <v>In Progress</v>
      </c>
    </row>
    <row r="79" spans="1:7" x14ac:dyDescent="0.3">
      <c r="A79" s="6" t="s">
        <v>92</v>
      </c>
      <c r="B79" s="6" t="s">
        <v>98</v>
      </c>
      <c r="C79" s="6" t="s">
        <v>12</v>
      </c>
      <c r="D79" s="7">
        <v>45672</v>
      </c>
      <c r="E79" s="6">
        <v>10</v>
      </c>
      <c r="F79" s="8">
        <v>0.05</v>
      </c>
      <c r="G79" t="str">
        <f t="shared" si="1"/>
        <v>In Progress</v>
      </c>
    </row>
    <row r="80" spans="1:7" x14ac:dyDescent="0.3">
      <c r="A80" s="3" t="s">
        <v>92</v>
      </c>
      <c r="B80" s="3" t="s">
        <v>99</v>
      </c>
      <c r="C80" s="3" t="s">
        <v>14</v>
      </c>
      <c r="D80" s="4">
        <v>45672</v>
      </c>
      <c r="E80" s="3">
        <v>10</v>
      </c>
      <c r="F80" s="5">
        <v>0.7</v>
      </c>
      <c r="G80" t="str">
        <f t="shared" si="1"/>
        <v>In Progress</v>
      </c>
    </row>
    <row r="81" spans="1:7" x14ac:dyDescent="0.3">
      <c r="A81" s="6" t="s">
        <v>92</v>
      </c>
      <c r="B81" s="6" t="s">
        <v>100</v>
      </c>
      <c r="C81" s="6" t="s">
        <v>16</v>
      </c>
      <c r="D81" s="7">
        <v>45672</v>
      </c>
      <c r="E81" s="6">
        <v>3</v>
      </c>
      <c r="F81" s="8">
        <v>0.85</v>
      </c>
      <c r="G81" t="str">
        <f t="shared" si="1"/>
        <v>In Progress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Mankar</dc:creator>
  <cp:lastModifiedBy>Ashutosh Mankar</cp:lastModifiedBy>
  <dcterms:created xsi:type="dcterms:W3CDTF">2025-12-25T06:41:35Z</dcterms:created>
  <dcterms:modified xsi:type="dcterms:W3CDTF">2025-12-31T05:51:51Z</dcterms:modified>
</cp:coreProperties>
</file>