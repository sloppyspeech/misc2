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kar\Downloads\"/>
    </mc:Choice>
  </mc:AlternateContent>
  <xr:revisionPtr revIDLastSave="0" documentId="13_ncr:1_{C65736D4-7988-450E-91B6-B44AABCF6A18}" xr6:coauthVersionLast="47" xr6:coauthVersionMax="47" xr10:uidLastSave="{00000000-0000-0000-0000-000000000000}"/>
  <bookViews>
    <workbookView xWindow="28680" yWindow="-120" windowWidth="29040" windowHeight="15720" activeTab="1" xr2:uid="{6122EB0B-D651-4EFE-B3DC-EB972B2655CB}"/>
  </bookViews>
  <sheets>
    <sheet name="Configuration" sheetId="1" r:id="rId1"/>
    <sheet name="Scope 2 Plan" sheetId="2" r:id="rId2"/>
    <sheet name="Readiness Tra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2" l="1"/>
  <c r="Q1" i="2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H3" i="2"/>
  <c r="H4" i="2"/>
  <c r="H5" i="2"/>
  <c r="H6" i="2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K3" i="2"/>
  <c r="K4" i="2"/>
  <c r="K5" i="2"/>
  <c r="K6" i="2"/>
  <c r="N3" i="2"/>
  <c r="N4" i="2"/>
  <c r="N5" i="2"/>
  <c r="N6" i="2"/>
  <c r="N7" i="2"/>
  <c r="N8" i="2"/>
  <c r="N9" i="2"/>
  <c r="N10" i="2"/>
  <c r="N11" i="2"/>
  <c r="N12" i="2"/>
  <c r="N13" i="2"/>
  <c r="N2" i="2"/>
  <c r="G3" i="3"/>
  <c r="G4" i="3"/>
  <c r="G5" i="3"/>
  <c r="G6" i="3"/>
  <c r="G7" i="3"/>
  <c r="G8" i="3"/>
  <c r="G9" i="3"/>
  <c r="G10" i="3"/>
  <c r="G11" i="3"/>
  <c r="G12" i="3"/>
  <c r="G13" i="3"/>
  <c r="G2" i="3"/>
  <c r="G3" i="2"/>
  <c r="I3" i="2"/>
  <c r="G4" i="2"/>
  <c r="I4" i="2"/>
  <c r="G5" i="2"/>
  <c r="I5" i="2"/>
  <c r="J5" i="2" s="1"/>
  <c r="G6" i="2"/>
  <c r="I6" i="2"/>
  <c r="J6" i="2" s="1"/>
  <c r="G7" i="2"/>
  <c r="I7" i="2"/>
  <c r="J7" i="2" s="1"/>
  <c r="G8" i="2"/>
  <c r="I8" i="2"/>
  <c r="J8" i="2" s="1"/>
  <c r="G9" i="2"/>
  <c r="I9" i="2"/>
  <c r="G10" i="2"/>
  <c r="I10" i="2"/>
  <c r="G11" i="2"/>
  <c r="I11" i="2"/>
  <c r="J11" i="2"/>
  <c r="G12" i="2"/>
  <c r="I12" i="2"/>
  <c r="J12" i="2" s="1"/>
  <c r="G13" i="2"/>
  <c r="I13" i="2"/>
  <c r="I2" i="2"/>
  <c r="F3" i="2"/>
  <c r="F4" i="2"/>
  <c r="F5" i="2"/>
  <c r="F6" i="2"/>
  <c r="F7" i="2"/>
  <c r="F8" i="2"/>
  <c r="F9" i="2"/>
  <c r="F10" i="2"/>
  <c r="F11" i="2"/>
  <c r="F12" i="2"/>
  <c r="F13" i="2"/>
  <c r="F2" i="2"/>
  <c r="G2" i="2" s="1"/>
  <c r="H2" i="2" s="1"/>
  <c r="K2" i="2" s="1"/>
  <c r="J2" i="2" l="1"/>
  <c r="J13" i="2"/>
  <c r="J10" i="2"/>
  <c r="J9" i="2"/>
  <c r="J4" i="2"/>
  <c r="J3" i="2"/>
</calcChain>
</file>

<file path=xl/sharedStrings.xml><?xml version="1.0" encoding="utf-8"?>
<sst xmlns="http://schemas.openxmlformats.org/spreadsheetml/2006/main" count="134" uniqueCount="61">
  <si>
    <t>Parameter</t>
  </si>
  <si>
    <t>Value</t>
  </si>
  <si>
    <t>Description</t>
  </si>
  <si>
    <t>Exec Time per Job (Mins)</t>
  </si>
  <si>
    <t>Avg time to run CTRL-M job &amp; monitor log</t>
  </si>
  <si>
    <t>Valid Time per Table (Mins)</t>
  </si>
  <si>
    <t>Avg time to run Snowpark comparator &amp; verify</t>
  </si>
  <si>
    <t>Number of Testers</t>
  </si>
  <si>
    <t>Number of resources assigned</t>
  </si>
  <si>
    <t>Productive Hours/Day</t>
  </si>
  <si>
    <t>Hours available for testing (minus meetings)</t>
  </si>
  <si>
    <t>Defect Buffer</t>
  </si>
  <si>
    <t>Contingency for bugs/re-runs</t>
  </si>
  <si>
    <t>Env Setup Lag (Days)</t>
  </si>
  <si>
    <t>Days needed to finish the 5 pre-reqs</t>
  </si>
  <si>
    <t>Scope</t>
  </si>
  <si>
    <t>Trigram</t>
  </si>
  <si>
    <t>Start Date</t>
  </si>
  <si>
    <t>Ctrl-M Jobs</t>
  </si>
  <si>
    <t>Tgt Tables</t>
  </si>
  <si>
    <t>Raw Effort (Hrs)</t>
  </si>
  <si>
    <t>Total Effort w/ Buffer</t>
  </si>
  <si>
    <t>Days Needed</t>
  </si>
  <si>
    <t>Env Ready Date</t>
  </si>
  <si>
    <t>Est. Completion Date</t>
  </si>
  <si>
    <t>Risk Level</t>
  </si>
  <si>
    <t>BVN</t>
  </si>
  <si>
    <t>CLS</t>
  </si>
  <si>
    <t>EXR</t>
  </si>
  <si>
    <t>GUA</t>
  </si>
  <si>
    <t>HTR</t>
  </si>
  <si>
    <t>MPI</t>
  </si>
  <si>
    <t>OBR</t>
  </si>
  <si>
    <t>PYC</t>
  </si>
  <si>
    <t>SHP</t>
  </si>
  <si>
    <t>TRT</t>
  </si>
  <si>
    <t>ULF</t>
  </si>
  <si>
    <t>CNE</t>
  </si>
  <si>
    <t>1. Linux VM</t>
  </si>
  <si>
    <t>2. CTRL-M Config</t>
  </si>
  <si>
    <t>3. Data Copy</t>
  </si>
  <si>
    <t>4. Code Deploy</t>
  </si>
  <si>
    <t>5. Comparator</t>
  </si>
  <si>
    <t>STATUS</t>
  </si>
  <si>
    <t>Owner</t>
  </si>
  <si>
    <t>No</t>
  </si>
  <si>
    <t>Jobs Completed</t>
  </si>
  <si>
    <t>Tables Verified</t>
  </si>
  <si>
    <t>Total Progress %</t>
  </si>
  <si>
    <t>Assigned Tester</t>
  </si>
  <si>
    <t>T7</t>
  </si>
  <si>
    <t>T8</t>
  </si>
  <si>
    <t>T6</t>
  </si>
  <si>
    <t>T2</t>
  </si>
  <si>
    <t>T7 (Queue)</t>
  </si>
  <si>
    <t>T6 (Queue)</t>
  </si>
  <si>
    <t>T1</t>
  </si>
  <si>
    <t>T3</t>
  </si>
  <si>
    <t>T8 (Queue)</t>
  </si>
  <si>
    <t>T5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</si>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</sst>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Aptos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0" fontId="0" fillId="0" borderId="0" xfId="0" applyAlignment="1"/>
    <xf numFmtId="15" fontId="1" fillId="0" borderId="1" xfId="0" applyNumberFormat="1" applyFont="1" applyBorder="1" applyAlignment="1">
      <alignment wrapText="1"/>
    </xf>
    <xf numFmtId="170" fontId="1" fillId="0" borderId="1" xfId="0" applyNumberFormat="1" applyFont="1" applyBorder="1" applyAlignment="1">
      <alignment wrapText="1"/>
    </xf>
    <xf numFmtId="9" fontId="1" fillId="0" borderId="1" xfId="1" applyFont="1" applyBorder="1" applyAlignment="1">
      <alignment wrapText="1"/>
    </xf>
    <xf numFmtId="15" fontId="0" fillId="0" borderId="0" xfId="0" applyNumberFormat="1" applyAlignment="1"/>
  </cellXfs>
  <cellStyles count="2">
    <cellStyle name="Normal" xfId="0" builtinId="0"/>
    <cellStyle name="Percent" xfId="1" builtinId="5"/>
  </cellStyles>
  <dxfs count="7"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678B-51E7-40C5-8631-0F7AE5177963}">
  <dimension ref="A1:C7"/>
  <sheetViews>
    <sheetView workbookViewId="0">
      <selection activeCell="A4" sqref="A4"/>
    </sheetView>
  </sheetViews>
  <sheetFormatPr defaultRowHeight="14.4" x14ac:dyDescent="0.3"/>
  <cols>
    <col min="1" max="1" width="30.8984375" customWidth="1"/>
    <col min="3" max="3" width="60.796875" customWidth="1"/>
  </cols>
  <sheetData>
    <row r="1" spans="1:3" ht="15" thickBot="1" x14ac:dyDescent="0.35">
      <c r="A1" s="4" t="s">
        <v>0</v>
      </c>
      <c r="B1" s="4" t="s">
        <v>1</v>
      </c>
      <c r="C1" s="4" t="s">
        <v>2</v>
      </c>
    </row>
    <row r="2" spans="1:3" ht="15" thickBot="1" x14ac:dyDescent="0.35">
      <c r="A2" s="4" t="s">
        <v>3</v>
      </c>
      <c r="B2" s="5">
        <v>30</v>
      </c>
      <c r="C2" s="5" t="s">
        <v>4</v>
      </c>
    </row>
    <row r="3" spans="1:3" ht="15" thickBot="1" x14ac:dyDescent="0.35">
      <c r="A3" s="4" t="s">
        <v>5</v>
      </c>
      <c r="B3" s="5">
        <v>45</v>
      </c>
      <c r="C3" s="5" t="s">
        <v>6</v>
      </c>
    </row>
    <row r="4" spans="1:3" ht="15" thickBot="1" x14ac:dyDescent="0.35">
      <c r="A4" s="4" t="s">
        <v>7</v>
      </c>
      <c r="B4" s="5">
        <v>2</v>
      </c>
      <c r="C4" s="5" t="s">
        <v>8</v>
      </c>
    </row>
    <row r="5" spans="1:3" ht="15" thickBot="1" x14ac:dyDescent="0.35">
      <c r="A5" s="4" t="s">
        <v>9</v>
      </c>
      <c r="B5" s="5">
        <v>6.5</v>
      </c>
      <c r="C5" s="5" t="s">
        <v>10</v>
      </c>
    </row>
    <row r="6" spans="1:3" ht="15" thickBot="1" x14ac:dyDescent="0.35">
      <c r="A6" s="4" t="s">
        <v>11</v>
      </c>
      <c r="B6" s="6">
        <v>0.2</v>
      </c>
      <c r="C6" s="5" t="s">
        <v>12</v>
      </c>
    </row>
    <row r="7" spans="1:3" ht="15" thickBot="1" x14ac:dyDescent="0.35">
      <c r="A7" s="4" t="s">
        <v>13</v>
      </c>
      <c r="B7" s="5">
        <v>5</v>
      </c>
      <c r="C7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FFB9-CFF6-4AE1-96C8-522040CC5228}">
  <dimension ref="A1:AZ13"/>
  <sheetViews>
    <sheetView tabSelected="1" workbookViewId="0">
      <selection activeCell="M27" sqref="M27"/>
    </sheetView>
  </sheetViews>
  <sheetFormatPr defaultRowHeight="14.4" x14ac:dyDescent="0.3"/>
  <cols>
    <col min="1" max="2" width="8.796875" style="7"/>
    <col min="3" max="3" width="9.3984375" style="7" bestFit="1" customWidth="1"/>
    <col min="4" max="7" width="8.796875" style="7"/>
    <col min="8" max="8" width="11.3984375" style="7" bestFit="1" customWidth="1"/>
    <col min="9" max="9" width="9.09765625" style="7" bestFit="1" customWidth="1"/>
    <col min="10" max="10" width="9.296875" style="7" bestFit="1" customWidth="1"/>
    <col min="11" max="14" width="8.796875" style="7"/>
    <col min="15" max="15" width="18.296875" style="7" customWidth="1"/>
    <col min="16" max="52" width="2.69921875" style="7" customWidth="1"/>
    <col min="53" max="16384" width="8.796875" style="7"/>
  </cols>
  <sheetData>
    <row r="1" spans="1:52" ht="42.6" thickBot="1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46</v>
      </c>
      <c r="M1" s="4" t="s">
        <v>47</v>
      </c>
      <c r="N1" s="4" t="s">
        <v>48</v>
      </c>
      <c r="O1" s="4" t="s">
        <v>49</v>
      </c>
      <c r="P1" s="11">
        <f>C2</f>
        <v>45960</v>
      </c>
      <c r="Q1" s="11">
        <f>P1+1</f>
        <v>45961</v>
      </c>
      <c r="R1" s="11">
        <f>Q1+1</f>
        <v>45962</v>
      </c>
      <c r="S1" s="11">
        <f t="shared" ref="S1:AQ1" si="0">R1+1</f>
        <v>45963</v>
      </c>
      <c r="T1" s="11">
        <f t="shared" si="0"/>
        <v>45964</v>
      </c>
      <c r="U1" s="11">
        <f t="shared" si="0"/>
        <v>45965</v>
      </c>
      <c r="V1" s="11">
        <f t="shared" si="0"/>
        <v>45966</v>
      </c>
      <c r="W1" s="11">
        <f t="shared" si="0"/>
        <v>45967</v>
      </c>
      <c r="X1" s="11">
        <f t="shared" si="0"/>
        <v>45968</v>
      </c>
      <c r="Y1" s="11">
        <f t="shared" si="0"/>
        <v>45969</v>
      </c>
      <c r="Z1" s="11">
        <f t="shared" si="0"/>
        <v>45970</v>
      </c>
      <c r="AA1" s="11">
        <f t="shared" si="0"/>
        <v>45971</v>
      </c>
      <c r="AB1" s="11">
        <f t="shared" si="0"/>
        <v>45972</v>
      </c>
      <c r="AC1" s="11">
        <f t="shared" si="0"/>
        <v>45973</v>
      </c>
      <c r="AD1" s="11">
        <f t="shared" si="0"/>
        <v>45974</v>
      </c>
      <c r="AE1" s="11">
        <f t="shared" si="0"/>
        <v>45975</v>
      </c>
      <c r="AF1" s="11">
        <f t="shared" si="0"/>
        <v>45976</v>
      </c>
      <c r="AG1" s="11">
        <f t="shared" si="0"/>
        <v>45977</v>
      </c>
      <c r="AH1" s="11">
        <f t="shared" si="0"/>
        <v>45978</v>
      </c>
      <c r="AI1" s="11">
        <f t="shared" si="0"/>
        <v>45979</v>
      </c>
      <c r="AJ1" s="11">
        <f t="shared" si="0"/>
        <v>45980</v>
      </c>
      <c r="AK1" s="11">
        <f t="shared" si="0"/>
        <v>45981</v>
      </c>
      <c r="AL1" s="11">
        <f t="shared" si="0"/>
        <v>45982</v>
      </c>
      <c r="AM1" s="11">
        <f t="shared" si="0"/>
        <v>45983</v>
      </c>
      <c r="AN1" s="11">
        <f t="shared" si="0"/>
        <v>45984</v>
      </c>
      <c r="AO1" s="11">
        <f t="shared" si="0"/>
        <v>45985</v>
      </c>
      <c r="AP1" s="11">
        <f t="shared" si="0"/>
        <v>45986</v>
      </c>
      <c r="AQ1" s="11">
        <f t="shared" si="0"/>
        <v>45987</v>
      </c>
      <c r="AR1" s="11">
        <f>AQ1+1</f>
        <v>45988</v>
      </c>
      <c r="AS1" s="11">
        <f>AR1+1</f>
        <v>45989</v>
      </c>
      <c r="AT1" s="11">
        <f t="shared" ref="AT1:AZ1" si="1">AS1+1</f>
        <v>45990</v>
      </c>
      <c r="AU1" s="11">
        <f t="shared" si="1"/>
        <v>45991</v>
      </c>
      <c r="AV1" s="11">
        <f t="shared" si="1"/>
        <v>45992</v>
      </c>
      <c r="AW1" s="11">
        <f t="shared" si="1"/>
        <v>45993</v>
      </c>
      <c r="AX1" s="11">
        <f t="shared" si="1"/>
        <v>45994</v>
      </c>
      <c r="AY1" s="11">
        <f t="shared" si="1"/>
        <v>45995</v>
      </c>
      <c r="AZ1" s="11">
        <f t="shared" si="1"/>
        <v>45996</v>
      </c>
    </row>
    <row r="2" spans="1:52" ht="15" thickBot="1" x14ac:dyDescent="0.35">
      <c r="A2" s="5">
        <v>2</v>
      </c>
      <c r="B2" s="5" t="s">
        <v>26</v>
      </c>
      <c r="C2" s="8">
        <v>45960</v>
      </c>
      <c r="D2" s="5">
        <v>54</v>
      </c>
      <c r="E2" s="5">
        <v>52</v>
      </c>
      <c r="F2" s="5">
        <f>((D2*Configuration!$B$2) + (E2*Configuration!$B$3))/60</f>
        <v>66</v>
      </c>
      <c r="G2" s="5">
        <f>F2*(1+Configuration!$B$6)</f>
        <v>79.2</v>
      </c>
      <c r="H2" s="9">
        <f>G2/(Configuration!$B$4 * Configuration!$B$5)</f>
        <v>6.0923076923076929</v>
      </c>
      <c r="I2" s="8">
        <f>WORKDAY(C2, Configuration!$B$7)</f>
        <v>45967</v>
      </c>
      <c r="J2" s="8">
        <f>WORKDAY(I2, H2)</f>
        <v>45975</v>
      </c>
      <c r="K2" s="5" t="str">
        <f>IF(H2&gt;20, "CRITICAL", IF(H2&gt;10, "HIGH", "LOW"))</f>
        <v>LOW</v>
      </c>
      <c r="L2" s="5">
        <v>1</v>
      </c>
      <c r="M2" s="5">
        <v>2</v>
      </c>
      <c r="N2" s="10">
        <f>IF((D2+E2)=0, 0, (L2+M2)/(D2+E2))</f>
        <v>2.8301886792452831E-2</v>
      </c>
      <c r="O2" s="5" t="s">
        <v>56</v>
      </c>
    </row>
    <row r="3" spans="1:52" ht="15" thickBot="1" x14ac:dyDescent="0.35">
      <c r="A3" s="5">
        <v>2</v>
      </c>
      <c r="B3" s="5" t="s">
        <v>27</v>
      </c>
      <c r="C3" s="8">
        <v>45961</v>
      </c>
      <c r="D3" s="5">
        <v>6</v>
      </c>
      <c r="E3" s="5">
        <v>20</v>
      </c>
      <c r="F3" s="5">
        <f>((D3*Configuration!$B$2) + (E3*Configuration!$B$3))/60</f>
        <v>18</v>
      </c>
      <c r="G3" s="5">
        <f>F3*(1+Configuration!$B$6)</f>
        <v>21.599999999999998</v>
      </c>
      <c r="H3" s="9">
        <f>G3/(Configuration!$B$4 * Configuration!$B$5)</f>
        <v>1.6615384615384614</v>
      </c>
      <c r="I3" s="8">
        <f>WORKDAY(C3, Configuration!$B$7)</f>
        <v>45968</v>
      </c>
      <c r="J3" s="8">
        <f t="shared" ref="J3:J13" si="2">WORKDAY(I3, H3)</f>
        <v>45971</v>
      </c>
      <c r="K3" s="5" t="str">
        <f t="shared" ref="K3:K13" si="3">IF(H3&gt;20, "CRITICAL", IF(H3&gt;10, "HIGH", "LOW"))</f>
        <v>LOW</v>
      </c>
      <c r="L3" s="5">
        <v>1</v>
      </c>
      <c r="M3" s="5">
        <v>2</v>
      </c>
      <c r="N3" s="10">
        <f t="shared" ref="N3:N13" si="4">IF((D3+E3)=0, 0, (L3+M3)/(D3+E3))</f>
        <v>0.11538461538461539</v>
      </c>
      <c r="O3" s="5" t="s">
        <v>50</v>
      </c>
    </row>
    <row r="4" spans="1:52" ht="15" thickBot="1" x14ac:dyDescent="0.35">
      <c r="A4" s="5">
        <v>2</v>
      </c>
      <c r="B4" s="5" t="s">
        <v>28</v>
      </c>
      <c r="C4" s="8">
        <v>45962</v>
      </c>
      <c r="D4" s="5">
        <v>0</v>
      </c>
      <c r="E4" s="5">
        <v>1</v>
      </c>
      <c r="F4" s="5">
        <f>((D4*Configuration!$B$2) + (E4*Configuration!$B$3))/60</f>
        <v>0.75</v>
      </c>
      <c r="G4" s="5">
        <f>F4*(1+Configuration!$B$6)</f>
        <v>0.89999999999999991</v>
      </c>
      <c r="H4" s="9">
        <f>G4/(Configuration!$B$4 * Configuration!$B$5)</f>
        <v>6.9230769230769221E-2</v>
      </c>
      <c r="I4" s="8">
        <f>WORKDAY(C4, Configuration!$B$7)</f>
        <v>45968</v>
      </c>
      <c r="J4" s="8">
        <f t="shared" si="2"/>
        <v>45968</v>
      </c>
      <c r="K4" s="5" t="str">
        <f t="shared" si="3"/>
        <v>LOW</v>
      </c>
      <c r="L4" s="5">
        <v>0</v>
      </c>
      <c r="M4" s="5">
        <v>1</v>
      </c>
      <c r="N4" s="10">
        <f t="shared" si="4"/>
        <v>1</v>
      </c>
      <c r="O4" s="5" t="s">
        <v>51</v>
      </c>
    </row>
    <row r="5" spans="1:52" ht="15" thickBot="1" x14ac:dyDescent="0.35">
      <c r="A5" s="5">
        <v>2</v>
      </c>
      <c r="B5" s="5" t="s">
        <v>29</v>
      </c>
      <c r="C5" s="8">
        <v>45963</v>
      </c>
      <c r="D5" s="5">
        <v>8</v>
      </c>
      <c r="E5" s="5">
        <v>19</v>
      </c>
      <c r="F5" s="5">
        <f>((D5*Configuration!$B$2) + (E5*Configuration!$B$3))/60</f>
        <v>18.25</v>
      </c>
      <c r="G5" s="5">
        <f>F5*(1+Configuration!$B$6)</f>
        <v>21.9</v>
      </c>
      <c r="H5" s="9">
        <f>G5/(Configuration!$B$4 * Configuration!$B$5)</f>
        <v>1.6846153846153844</v>
      </c>
      <c r="I5" s="8">
        <f>WORKDAY(C5, Configuration!$B$7)</f>
        <v>45968</v>
      </c>
      <c r="J5" s="8">
        <f t="shared" si="2"/>
        <v>45971</v>
      </c>
      <c r="K5" s="5" t="str">
        <f t="shared" si="3"/>
        <v>LOW</v>
      </c>
      <c r="L5" s="5">
        <v>1</v>
      </c>
      <c r="M5" s="5">
        <v>2</v>
      </c>
      <c r="N5" s="10">
        <f t="shared" si="4"/>
        <v>0.1111111111111111</v>
      </c>
      <c r="O5" s="5" t="s">
        <v>52</v>
      </c>
    </row>
    <row r="6" spans="1:52" ht="15" thickBot="1" x14ac:dyDescent="0.35">
      <c r="A6" s="5">
        <v>2</v>
      </c>
      <c r="B6" s="5" t="s">
        <v>30</v>
      </c>
      <c r="C6" s="8">
        <v>45964</v>
      </c>
      <c r="D6" s="5">
        <v>73</v>
      </c>
      <c r="E6" s="5">
        <v>46</v>
      </c>
      <c r="F6" s="5">
        <f>((D6*Configuration!$B$2) + (E6*Configuration!$B$3))/60</f>
        <v>71</v>
      </c>
      <c r="G6" s="5">
        <f>F6*(1+Configuration!$B$6)</f>
        <v>85.2</v>
      </c>
      <c r="H6" s="9">
        <f>G6/(Configuration!$B$4 * Configuration!$B$5)</f>
        <v>6.5538461538461537</v>
      </c>
      <c r="I6" s="8">
        <f>WORKDAY(C6, Configuration!$B$7)</f>
        <v>45971</v>
      </c>
      <c r="J6" s="8">
        <f t="shared" si="2"/>
        <v>45979</v>
      </c>
      <c r="K6" s="5" t="str">
        <f t="shared" si="3"/>
        <v>LOW</v>
      </c>
      <c r="L6" s="5">
        <v>1</v>
      </c>
      <c r="M6" s="5">
        <v>2</v>
      </c>
      <c r="N6" s="10">
        <f t="shared" si="4"/>
        <v>2.5210084033613446E-2</v>
      </c>
      <c r="O6" s="5" t="s">
        <v>53</v>
      </c>
    </row>
    <row r="7" spans="1:52" ht="15" thickBot="1" x14ac:dyDescent="0.35">
      <c r="A7" s="5">
        <v>2</v>
      </c>
      <c r="B7" s="5" t="s">
        <v>31</v>
      </c>
      <c r="C7" s="8">
        <v>45965</v>
      </c>
      <c r="D7" s="5">
        <v>1</v>
      </c>
      <c r="E7" s="5">
        <v>2</v>
      </c>
      <c r="F7" s="5">
        <f>((D7*Configuration!$B$2) + (E7*Configuration!$B$3))/60</f>
        <v>2</v>
      </c>
      <c r="G7" s="5">
        <f>F7*(1+Configuration!$B$6)</f>
        <v>2.4</v>
      </c>
      <c r="H7" s="9">
        <f>G7/(Configuration!$B$4 * Configuration!$B$5)</f>
        <v>0.1846153846153846</v>
      </c>
      <c r="I7" s="8">
        <f>WORKDAY(C7, Configuration!$B$7)</f>
        <v>45972</v>
      </c>
      <c r="J7" s="8">
        <f t="shared" si="2"/>
        <v>45972</v>
      </c>
      <c r="K7" s="5" t="str">
        <f t="shared" si="3"/>
        <v>LOW</v>
      </c>
      <c r="L7" s="5">
        <v>1</v>
      </c>
      <c r="M7" s="5">
        <v>2</v>
      </c>
      <c r="N7" s="10">
        <f t="shared" si="4"/>
        <v>1</v>
      </c>
      <c r="O7" s="5" t="s">
        <v>54</v>
      </c>
    </row>
    <row r="8" spans="1:52" ht="15" thickBot="1" x14ac:dyDescent="0.35">
      <c r="A8" s="5">
        <v>2</v>
      </c>
      <c r="B8" s="5" t="s">
        <v>32</v>
      </c>
      <c r="C8" s="8">
        <v>45966</v>
      </c>
      <c r="D8" s="5">
        <v>1</v>
      </c>
      <c r="E8" s="5">
        <v>1</v>
      </c>
      <c r="F8" s="5">
        <f>((D8*Configuration!$B$2) + (E8*Configuration!$B$3))/60</f>
        <v>1.25</v>
      </c>
      <c r="G8" s="5">
        <f>F8*(1+Configuration!$B$6)</f>
        <v>1.5</v>
      </c>
      <c r="H8" s="9">
        <f>G8/(Configuration!$B$4 * Configuration!$B$5)</f>
        <v>0.11538461538461539</v>
      </c>
      <c r="I8" s="8">
        <f>WORKDAY(C8, Configuration!$B$7)</f>
        <v>45973</v>
      </c>
      <c r="J8" s="8">
        <f t="shared" si="2"/>
        <v>45973</v>
      </c>
      <c r="K8" s="5" t="str">
        <f t="shared" si="3"/>
        <v>LOW</v>
      </c>
      <c r="L8" s="5">
        <v>1</v>
      </c>
      <c r="M8" s="5">
        <v>2</v>
      </c>
      <c r="N8" s="10">
        <f t="shared" si="4"/>
        <v>1.5</v>
      </c>
      <c r="O8" s="5" t="s">
        <v>55</v>
      </c>
    </row>
    <row r="9" spans="1:52" ht="13.8" customHeight="1" thickBot="1" x14ac:dyDescent="0.35">
      <c r="A9" s="5">
        <v>2</v>
      </c>
      <c r="B9" s="5" t="s">
        <v>33</v>
      </c>
      <c r="C9" s="8">
        <v>45967</v>
      </c>
      <c r="D9" s="5">
        <v>121</v>
      </c>
      <c r="E9" s="5">
        <v>210</v>
      </c>
      <c r="F9" s="5">
        <f>((D9*Configuration!$B$2) + (E9*Configuration!$B$3))/60</f>
        <v>218</v>
      </c>
      <c r="G9" s="5">
        <f>F9*(1+Configuration!$B$6)</f>
        <v>261.59999999999997</v>
      </c>
      <c r="H9" s="9">
        <f>G9/(Configuration!$B$4 * Configuration!$B$5)</f>
        <v>20.123076923076919</v>
      </c>
      <c r="I9" s="8">
        <f>WORKDAY(C9, Configuration!$B$7)</f>
        <v>45974</v>
      </c>
      <c r="J9" s="8">
        <f t="shared" si="2"/>
        <v>46002</v>
      </c>
      <c r="K9" s="5" t="str">
        <f t="shared" si="3"/>
        <v>CRITICAL</v>
      </c>
      <c r="L9" s="5">
        <v>1</v>
      </c>
      <c r="M9" s="5">
        <v>2</v>
      </c>
      <c r="N9" s="10">
        <f t="shared" si="4"/>
        <v>9.0634441087613302E-3</v>
      </c>
      <c r="O9" s="5" t="s">
        <v>56</v>
      </c>
    </row>
    <row r="10" spans="1:52" ht="15" thickBot="1" x14ac:dyDescent="0.35">
      <c r="A10" s="5">
        <v>2</v>
      </c>
      <c r="B10" s="5" t="s">
        <v>34</v>
      </c>
      <c r="C10" s="8">
        <v>45968</v>
      </c>
      <c r="D10" s="5">
        <v>25</v>
      </c>
      <c r="E10" s="5">
        <v>54</v>
      </c>
      <c r="F10" s="5">
        <f>((D10*Configuration!$B$2) + (E10*Configuration!$B$3))/60</f>
        <v>53</v>
      </c>
      <c r="G10" s="5">
        <f>F10*(1+Configuration!$B$6)</f>
        <v>63.599999999999994</v>
      </c>
      <c r="H10" s="9">
        <f>G10/(Configuration!$B$4 * Configuration!$B$5)</f>
        <v>4.8923076923076918</v>
      </c>
      <c r="I10" s="8">
        <f>WORKDAY(C10, Configuration!$B$7)</f>
        <v>45975</v>
      </c>
      <c r="J10" s="8">
        <f t="shared" si="2"/>
        <v>45981</v>
      </c>
      <c r="K10" s="5" t="str">
        <f t="shared" si="3"/>
        <v>LOW</v>
      </c>
      <c r="L10" s="5">
        <v>1</v>
      </c>
      <c r="M10" s="5">
        <v>2</v>
      </c>
      <c r="N10" s="10">
        <f t="shared" si="4"/>
        <v>3.7974683544303799E-2</v>
      </c>
      <c r="O10" s="5" t="s">
        <v>57</v>
      </c>
    </row>
    <row r="11" spans="1:52" ht="15" thickBot="1" x14ac:dyDescent="0.35">
      <c r="A11" s="5">
        <v>2</v>
      </c>
      <c r="B11" s="5" t="s">
        <v>35</v>
      </c>
      <c r="C11" s="8">
        <v>45969</v>
      </c>
      <c r="D11" s="5">
        <v>3</v>
      </c>
      <c r="E11" s="5">
        <v>55</v>
      </c>
      <c r="F11" s="5">
        <f>((D11*Configuration!$B$2) + (E11*Configuration!$B$3))/60</f>
        <v>42.75</v>
      </c>
      <c r="G11" s="5">
        <f>F11*(1+Configuration!$B$6)</f>
        <v>51.3</v>
      </c>
      <c r="H11" s="9">
        <f>G11/(Configuration!$B$4 * Configuration!$B$5)</f>
        <v>3.9461538461538459</v>
      </c>
      <c r="I11" s="8">
        <f>WORKDAY(C11, Configuration!$B$7)</f>
        <v>45975</v>
      </c>
      <c r="J11" s="8">
        <f t="shared" si="2"/>
        <v>45980</v>
      </c>
      <c r="K11" s="5" t="str">
        <f t="shared" si="3"/>
        <v>LOW</v>
      </c>
      <c r="L11" s="5">
        <v>1</v>
      </c>
      <c r="M11" s="5">
        <v>2</v>
      </c>
      <c r="N11" s="10">
        <f t="shared" si="4"/>
        <v>5.1724137931034482E-2</v>
      </c>
      <c r="O11" s="5" t="s">
        <v>58</v>
      </c>
    </row>
    <row r="12" spans="1:52" ht="15" thickBot="1" x14ac:dyDescent="0.35">
      <c r="A12" s="5">
        <v>2</v>
      </c>
      <c r="B12" s="5" t="s">
        <v>36</v>
      </c>
      <c r="C12" s="8">
        <v>45970</v>
      </c>
      <c r="D12" s="5">
        <v>12</v>
      </c>
      <c r="E12" s="5">
        <v>36</v>
      </c>
      <c r="F12" s="5">
        <f>((D12*Configuration!$B$2) + (E12*Configuration!$B$3))/60</f>
        <v>33</v>
      </c>
      <c r="G12" s="5">
        <f>F12*(1+Configuration!$B$6)</f>
        <v>39.6</v>
      </c>
      <c r="H12" s="9">
        <f>G12/(Configuration!$B$4 * Configuration!$B$5)</f>
        <v>3.0461538461538464</v>
      </c>
      <c r="I12" s="8">
        <f>WORKDAY(C12, Configuration!$B$7)</f>
        <v>45975</v>
      </c>
      <c r="J12" s="8">
        <f t="shared" si="2"/>
        <v>45980</v>
      </c>
      <c r="K12" s="5" t="str">
        <f t="shared" si="3"/>
        <v>LOW</v>
      </c>
      <c r="L12" s="5">
        <v>1</v>
      </c>
      <c r="M12" s="5">
        <v>2</v>
      </c>
      <c r="N12" s="10">
        <f t="shared" si="4"/>
        <v>6.25E-2</v>
      </c>
      <c r="O12" s="5" t="s">
        <v>59</v>
      </c>
    </row>
    <row r="13" spans="1:52" ht="15" thickBot="1" x14ac:dyDescent="0.35">
      <c r="A13" s="5">
        <v>2</v>
      </c>
      <c r="B13" s="5" t="s">
        <v>37</v>
      </c>
      <c r="C13" s="8">
        <v>45971</v>
      </c>
      <c r="D13" s="5">
        <v>0</v>
      </c>
      <c r="E13" s="5">
        <v>0</v>
      </c>
      <c r="F13" s="5">
        <f>((D13*Configuration!$B$2) + (E13*Configuration!$B$3))/60</f>
        <v>0</v>
      </c>
      <c r="G13" s="5">
        <f>F13*(1+Configuration!$B$6)</f>
        <v>0</v>
      </c>
      <c r="H13" s="9">
        <f>G13/(Configuration!$B$4 * Configuration!$B$5)</f>
        <v>0</v>
      </c>
      <c r="I13" s="8">
        <f>WORKDAY(C13, Configuration!$B$7)</f>
        <v>45978</v>
      </c>
      <c r="J13" s="8">
        <f t="shared" si="2"/>
        <v>45978</v>
      </c>
      <c r="K13" s="5" t="str">
        <f t="shared" si="3"/>
        <v>LOW</v>
      </c>
      <c r="L13" s="5">
        <v>1</v>
      </c>
      <c r="M13" s="5">
        <v>2</v>
      </c>
      <c r="N13" s="10">
        <f t="shared" si="4"/>
        <v>0</v>
      </c>
      <c r="O13" s="5" t="s">
        <v>60</v>
      </c>
    </row>
  </sheetData>
  <conditionalFormatting sqref="P2:AZ13">
    <cfRule type="expression" dxfId="5" priority="3">
      <formula>AND(P$1&gt;=$I2, P$1&lt;=$J2)</formula>
    </cfRule>
    <cfRule type="expression" dxfId="4" priority="2">
      <formula>WEEKDAY(P$1, 2)&gt;5</formula>
    </cfRule>
  </conditionalFormatting>
  <conditionalFormatting sqref="O2:O13">
    <cfRule type="expression" dxfId="3" priority="1">
      <formula>AND($O2&lt;&gt;"", COUNTIFS($O$2:$O$13, $O2, $I$2:$I$13, "&lt;="&amp;$J2, $J$2:$J$13, "&gt;="&amp;$I2)&gt;1)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470F-A4C3-4FC4-A61A-8C6E9EB65873}">
  <dimension ref="A1:H13"/>
  <sheetViews>
    <sheetView workbookViewId="0">
      <selection activeCell="C20" sqref="C20"/>
    </sheetView>
  </sheetViews>
  <sheetFormatPr defaultRowHeight="14.4" x14ac:dyDescent="0.3"/>
  <cols>
    <col min="1" max="1" width="8.796875" style="2"/>
    <col min="2" max="6" width="13.796875" style="2" customWidth="1"/>
    <col min="7" max="7" width="23.59765625" style="2" customWidth="1"/>
    <col min="8" max="16384" width="8.796875" style="2"/>
  </cols>
  <sheetData>
    <row r="1" spans="1:8" ht="15" thickBot="1" x14ac:dyDescent="0.35">
      <c r="A1" s="1" t="s">
        <v>16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ht="15" thickBot="1" x14ac:dyDescent="0.35">
      <c r="A2" s="3" t="s">
        <v>26</v>
      </c>
      <c r="B2" s="3" t="s">
        <v>45</v>
      </c>
      <c r="C2" s="3" t="s">
        <v>45</v>
      </c>
      <c r="D2" s="3" t="s">
        <v>45</v>
      </c>
      <c r="E2" s="3" t="s">
        <v>45</v>
      </c>
      <c r="F2" s="3" t="s">
        <v>45</v>
      </c>
      <c r="G2" s="3" t="str">
        <f>IF(COUNTIF(B2:F2,"Yes")=5, "GO", "BLOCKED")</f>
        <v>BLOCKED</v>
      </c>
      <c r="H2" s="3"/>
    </row>
    <row r="3" spans="1:8" ht="15" thickBot="1" x14ac:dyDescent="0.35">
      <c r="A3" s="3" t="s">
        <v>27</v>
      </c>
      <c r="B3" s="3" t="s">
        <v>45</v>
      </c>
      <c r="C3" s="3" t="s">
        <v>45</v>
      </c>
      <c r="D3" s="3" t="s">
        <v>45</v>
      </c>
      <c r="E3" s="3" t="s">
        <v>45</v>
      </c>
      <c r="F3" s="3" t="s">
        <v>45</v>
      </c>
      <c r="G3" s="3" t="str">
        <f t="shared" ref="G3:G13" si="0">IF(COUNTIF(B3:F3,"Yes")=5, "GO", "BLOCKED")</f>
        <v>BLOCKED</v>
      </c>
      <c r="H3" s="3"/>
    </row>
    <row r="4" spans="1:8" ht="15" thickBot="1" x14ac:dyDescent="0.35">
      <c r="A4" s="3" t="s">
        <v>28</v>
      </c>
      <c r="B4" s="3" t="s">
        <v>45</v>
      </c>
      <c r="C4" s="3" t="s">
        <v>45</v>
      </c>
      <c r="D4" s="3" t="s">
        <v>45</v>
      </c>
      <c r="E4" s="3" t="s">
        <v>45</v>
      </c>
      <c r="F4" s="3" t="s">
        <v>45</v>
      </c>
      <c r="G4" s="3" t="str">
        <f t="shared" si="0"/>
        <v>BLOCKED</v>
      </c>
      <c r="H4" s="3"/>
    </row>
    <row r="5" spans="1:8" ht="15" thickBot="1" x14ac:dyDescent="0.35">
      <c r="A5" s="3" t="s">
        <v>29</v>
      </c>
      <c r="B5" s="3" t="s">
        <v>45</v>
      </c>
      <c r="C5" s="3" t="s">
        <v>45</v>
      </c>
      <c r="D5" s="3" t="s">
        <v>45</v>
      </c>
      <c r="E5" s="3" t="s">
        <v>45</v>
      </c>
      <c r="F5" s="3" t="s">
        <v>45</v>
      </c>
      <c r="G5" s="3" t="str">
        <f t="shared" si="0"/>
        <v>BLOCKED</v>
      </c>
      <c r="H5" s="3"/>
    </row>
    <row r="6" spans="1:8" ht="15" thickBot="1" x14ac:dyDescent="0.35">
      <c r="A6" s="3" t="s">
        <v>30</v>
      </c>
      <c r="B6" s="3" t="s">
        <v>45</v>
      </c>
      <c r="C6" s="3" t="s">
        <v>45</v>
      </c>
      <c r="D6" s="3" t="s">
        <v>45</v>
      </c>
      <c r="E6" s="3" t="s">
        <v>45</v>
      </c>
      <c r="F6" s="3" t="s">
        <v>45</v>
      </c>
      <c r="G6" s="3" t="str">
        <f t="shared" si="0"/>
        <v>BLOCKED</v>
      </c>
      <c r="H6" s="3"/>
    </row>
    <row r="7" spans="1:8" ht="15" thickBot="1" x14ac:dyDescent="0.35">
      <c r="A7" s="3" t="s">
        <v>31</v>
      </c>
      <c r="B7" s="3" t="s">
        <v>45</v>
      </c>
      <c r="C7" s="3" t="s">
        <v>45</v>
      </c>
      <c r="D7" s="3" t="s">
        <v>45</v>
      </c>
      <c r="E7" s="3" t="s">
        <v>45</v>
      </c>
      <c r="F7" s="3" t="s">
        <v>45</v>
      </c>
      <c r="G7" s="3" t="str">
        <f t="shared" si="0"/>
        <v>BLOCKED</v>
      </c>
      <c r="H7" s="3"/>
    </row>
    <row r="8" spans="1:8" ht="15" thickBot="1" x14ac:dyDescent="0.35">
      <c r="A8" s="3" t="s">
        <v>32</v>
      </c>
      <c r="B8" s="3" t="s">
        <v>45</v>
      </c>
      <c r="C8" s="3" t="s">
        <v>45</v>
      </c>
      <c r="D8" s="3" t="s">
        <v>45</v>
      </c>
      <c r="E8" s="3" t="s">
        <v>45</v>
      </c>
      <c r="F8" s="3" t="s">
        <v>45</v>
      </c>
      <c r="G8" s="3" t="str">
        <f t="shared" si="0"/>
        <v>BLOCKED</v>
      </c>
      <c r="H8" s="3"/>
    </row>
    <row r="9" spans="1:8" ht="15" thickBot="1" x14ac:dyDescent="0.35">
      <c r="A9" s="3" t="s">
        <v>33</v>
      </c>
      <c r="B9" s="3" t="s">
        <v>45</v>
      </c>
      <c r="C9" s="3" t="s">
        <v>45</v>
      </c>
      <c r="D9" s="3" t="s">
        <v>45</v>
      </c>
      <c r="E9" s="3" t="s">
        <v>45</v>
      </c>
      <c r="F9" s="3" t="s">
        <v>45</v>
      </c>
      <c r="G9" s="3" t="str">
        <f t="shared" si="0"/>
        <v>BLOCKED</v>
      </c>
      <c r="H9" s="3"/>
    </row>
    <row r="10" spans="1:8" ht="15" thickBot="1" x14ac:dyDescent="0.35">
      <c r="A10" s="3" t="s">
        <v>34</v>
      </c>
      <c r="B10" s="3" t="s">
        <v>45</v>
      </c>
      <c r="C10" s="3" t="s">
        <v>45</v>
      </c>
      <c r="D10" s="3" t="s">
        <v>45</v>
      </c>
      <c r="E10" s="3" t="s">
        <v>45</v>
      </c>
      <c r="F10" s="3" t="s">
        <v>45</v>
      </c>
      <c r="G10" s="3" t="str">
        <f t="shared" si="0"/>
        <v>BLOCKED</v>
      </c>
      <c r="H10" s="3"/>
    </row>
    <row r="11" spans="1:8" ht="15" thickBot="1" x14ac:dyDescent="0.35">
      <c r="A11" s="3" t="s">
        <v>35</v>
      </c>
      <c r="B11" s="3" t="s">
        <v>45</v>
      </c>
      <c r="C11" s="3" t="s">
        <v>45</v>
      </c>
      <c r="D11" s="3" t="s">
        <v>45</v>
      </c>
      <c r="E11" s="3" t="s">
        <v>45</v>
      </c>
      <c r="F11" s="3" t="s">
        <v>45</v>
      </c>
      <c r="G11" s="3" t="str">
        <f t="shared" si="0"/>
        <v>BLOCKED</v>
      </c>
      <c r="H11" s="3"/>
    </row>
    <row r="12" spans="1:8" ht="15" thickBot="1" x14ac:dyDescent="0.35">
      <c r="A12" s="3" t="s">
        <v>36</v>
      </c>
      <c r="B12" s="3" t="s">
        <v>45</v>
      </c>
      <c r="C12" s="3" t="s">
        <v>45</v>
      </c>
      <c r="D12" s="3" t="s">
        <v>45</v>
      </c>
      <c r="E12" s="3" t="s">
        <v>45</v>
      </c>
      <c r="F12" s="3" t="s">
        <v>45</v>
      </c>
      <c r="G12" s="3" t="str">
        <f t="shared" si="0"/>
        <v>BLOCKED</v>
      </c>
      <c r="H12" s="3"/>
    </row>
    <row r="13" spans="1:8" ht="15" thickBot="1" x14ac:dyDescent="0.35">
      <c r="A13" s="3" t="s">
        <v>37</v>
      </c>
      <c r="B13" s="3" t="s">
        <v>45</v>
      </c>
      <c r="C13" s="3" t="s">
        <v>45</v>
      </c>
      <c r="D13" s="3" t="s">
        <v>45</v>
      </c>
      <c r="E13" s="3" t="s">
        <v>45</v>
      </c>
      <c r="F13" s="3" t="s">
        <v>45</v>
      </c>
      <c r="G13" s="3" t="str">
        <f t="shared" si="0"/>
        <v>BLOCKED</v>
      </c>
      <c r="H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Scope 2 Plan</vt:lpstr>
      <vt:lpstr>Readiness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Mankar</dc:creator>
  <cp:lastModifiedBy>Ashutosh Mankar</cp:lastModifiedBy>
  <dcterms:created xsi:type="dcterms:W3CDTF">2025-11-23T16:08:48Z</dcterms:created>
  <dcterms:modified xsi:type="dcterms:W3CDTF">2025-11-23T17:17:30Z</dcterms:modified>
</cp:coreProperties>
</file>